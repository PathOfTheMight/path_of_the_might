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ath_of_the_might\"/>
    </mc:Choice>
  </mc:AlternateContent>
  <xr:revisionPtr revIDLastSave="0" documentId="13_ncr:1_{4D869752-C878-472B-B592-C46C0DAAB27E}" xr6:coauthVersionLast="36" xr6:coauthVersionMax="36" xr10:uidLastSave="{00000000-0000-0000-0000-000000000000}"/>
  <bookViews>
    <workbookView xWindow="0" yWindow="0" windowWidth="11085" windowHeight="5625" activeTab="2" xr2:uid="{26BA9A3D-4827-4CA8-80FF-F3DB90EE98CD}"/>
  </bookViews>
  <sheets>
    <sheet name="pack size" sheetId="1" r:id="rId1"/>
    <sheet name="spawn area" sheetId="2" r:id="rId2"/>
    <sheet name="all" sheetId="8" r:id="rId3"/>
    <sheet name="mob list" sheetId="7" r:id="rId4"/>
    <sheet name="life" sheetId="6" r:id="rId5"/>
    <sheet name="damage" sheetId="5" r:id="rId6"/>
    <sheet name="accuracy" sheetId="4" r:id="rId7"/>
    <sheet name="evasion" sheetId="3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81" i="4" l="1"/>
  <c r="C82" i="4"/>
  <c r="C83" i="4"/>
  <c r="C84" i="4"/>
  <c r="C85" i="4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D2" i="6"/>
  <c r="C39" i="4" l="1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K31" i="2" l="1"/>
  <c r="M31" i="2" s="1"/>
  <c r="L31" i="2"/>
  <c r="H31" i="2"/>
  <c r="G31" i="2" s="1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K3" i="2"/>
  <c r="L3" i="2"/>
  <c r="K4" i="2"/>
  <c r="L4" i="2"/>
  <c r="K5" i="2"/>
  <c r="L5" i="2"/>
  <c r="K6" i="2"/>
  <c r="L6" i="2"/>
  <c r="K7" i="2"/>
  <c r="L7" i="2"/>
  <c r="K8" i="2"/>
  <c r="L8" i="2"/>
  <c r="K9" i="2"/>
  <c r="L9" i="2"/>
  <c r="K10" i="2"/>
  <c r="L10" i="2"/>
  <c r="K11" i="2"/>
  <c r="L11" i="2"/>
  <c r="K12" i="2"/>
  <c r="L12" i="2"/>
  <c r="K13" i="2"/>
  <c r="L13" i="2"/>
  <c r="K14" i="2"/>
  <c r="L14" i="2"/>
  <c r="K15" i="2"/>
  <c r="L15" i="2"/>
  <c r="K16" i="2"/>
  <c r="L16" i="2"/>
  <c r="K17" i="2"/>
  <c r="L17" i="2"/>
  <c r="K18" i="2"/>
  <c r="L18" i="2"/>
  <c r="K19" i="2"/>
  <c r="L19" i="2"/>
  <c r="K20" i="2"/>
  <c r="L20" i="2"/>
  <c r="K21" i="2"/>
  <c r="L21" i="2"/>
  <c r="K22" i="2"/>
  <c r="L22" i="2"/>
  <c r="K23" i="2"/>
  <c r="L23" i="2"/>
  <c r="K24" i="2"/>
  <c r="L24" i="2"/>
  <c r="K25" i="2"/>
  <c r="L25" i="2"/>
  <c r="K26" i="2"/>
  <c r="L26" i="2"/>
  <c r="K27" i="2"/>
  <c r="L27" i="2"/>
  <c r="K28" i="2"/>
  <c r="L28" i="2"/>
  <c r="K29" i="2"/>
  <c r="L29" i="2"/>
  <c r="K30" i="2"/>
  <c r="L30" i="2"/>
  <c r="L2" i="2"/>
  <c r="K2" i="2"/>
  <c r="G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G29" i="2" s="1"/>
  <c r="H30" i="2"/>
  <c r="G30" i="2" s="1"/>
  <c r="F31" i="2" l="1"/>
  <c r="B31" i="2" s="1"/>
  <c r="E31" i="2"/>
  <c r="A31" i="2" s="1"/>
  <c r="E30" i="2"/>
  <c r="A30" i="2" s="1"/>
  <c r="F30" i="2"/>
  <c r="B30" i="2" s="1"/>
  <c r="E26" i="2"/>
  <c r="A26" i="2" s="1"/>
  <c r="F26" i="2"/>
  <c r="B26" i="2" s="1"/>
  <c r="E22" i="2"/>
  <c r="A22" i="2" s="1"/>
  <c r="F22" i="2"/>
  <c r="B22" i="2" s="1"/>
  <c r="E29" i="2"/>
  <c r="A29" i="2" s="1"/>
  <c r="F29" i="2"/>
  <c r="B29" i="2" s="1"/>
  <c r="E25" i="2"/>
  <c r="A25" i="2" s="1"/>
  <c r="F25" i="2"/>
  <c r="B25" i="2" s="1"/>
  <c r="E21" i="2"/>
  <c r="A21" i="2" s="1"/>
  <c r="F21" i="2"/>
  <c r="B21" i="2" s="1"/>
  <c r="E28" i="2"/>
  <c r="A28" i="2" s="1"/>
  <c r="F28" i="2"/>
  <c r="B28" i="2" s="1"/>
  <c r="E24" i="2"/>
  <c r="A24" i="2" s="1"/>
  <c r="F24" i="2"/>
  <c r="B24" i="2" s="1"/>
  <c r="E27" i="2"/>
  <c r="A27" i="2" s="1"/>
  <c r="F27" i="2"/>
  <c r="B27" i="2" s="1"/>
  <c r="E23" i="2"/>
  <c r="A23" i="2" s="1"/>
  <c r="F23" i="2"/>
  <c r="B23" i="2" s="1"/>
  <c r="E6" i="2"/>
  <c r="E3" i="2"/>
  <c r="A3" i="2" s="1"/>
  <c r="E4" i="2"/>
  <c r="E5" i="2"/>
  <c r="E2" i="2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E2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B2" i="1"/>
  <c r="C2" i="1"/>
  <c r="D2" i="1"/>
  <c r="E2" i="1"/>
  <c r="F2" i="1"/>
  <c r="G2" i="1"/>
  <c r="H2" i="1"/>
  <c r="I2" i="1"/>
  <c r="J2" i="1"/>
  <c r="K2" i="1"/>
  <c r="L2" i="1"/>
  <c r="B3" i="1"/>
  <c r="C3" i="1"/>
  <c r="D3" i="1"/>
  <c r="E3" i="1"/>
  <c r="F3" i="1"/>
  <c r="G3" i="1"/>
  <c r="H3" i="1"/>
  <c r="I3" i="1"/>
  <c r="J3" i="1"/>
  <c r="K3" i="1"/>
  <c r="L3" i="1"/>
  <c r="B4" i="1"/>
  <c r="C4" i="1"/>
  <c r="D4" i="1"/>
  <c r="E4" i="1"/>
  <c r="F4" i="1"/>
  <c r="G4" i="1"/>
  <c r="H4" i="1"/>
  <c r="I4" i="1"/>
  <c r="J4" i="1"/>
  <c r="K4" i="1"/>
  <c r="L4" i="1"/>
  <c r="B5" i="1"/>
  <c r="C5" i="1"/>
  <c r="D5" i="1"/>
  <c r="E5" i="1"/>
  <c r="F5" i="1"/>
  <c r="G5" i="1"/>
  <c r="H5" i="1"/>
  <c r="I5" i="1"/>
  <c r="J5" i="1"/>
  <c r="K5" i="1"/>
  <c r="L5" i="1"/>
  <c r="B6" i="1"/>
  <c r="C6" i="1"/>
  <c r="D6" i="1"/>
  <c r="E6" i="1"/>
  <c r="F6" i="1"/>
  <c r="G6" i="1"/>
  <c r="H6" i="1"/>
  <c r="I6" i="1"/>
  <c r="J6" i="1"/>
  <c r="K6" i="1"/>
  <c r="L6" i="1"/>
  <c r="B7" i="1"/>
  <c r="C7" i="1"/>
  <c r="D7" i="1"/>
  <c r="E7" i="1"/>
  <c r="F7" i="1"/>
  <c r="G7" i="1"/>
  <c r="H7" i="1"/>
  <c r="I7" i="1"/>
  <c r="J7" i="1"/>
  <c r="K7" i="1"/>
  <c r="L7" i="1"/>
  <c r="B8" i="1"/>
  <c r="C8" i="1"/>
  <c r="D8" i="1"/>
  <c r="E8" i="1"/>
  <c r="F8" i="1"/>
  <c r="G8" i="1"/>
  <c r="H8" i="1"/>
  <c r="I8" i="1"/>
  <c r="J8" i="1"/>
  <c r="K8" i="1"/>
  <c r="L8" i="1"/>
  <c r="B9" i="1"/>
  <c r="C9" i="1"/>
  <c r="D9" i="1"/>
  <c r="E9" i="1"/>
  <c r="F9" i="1"/>
  <c r="G9" i="1"/>
  <c r="H9" i="1"/>
  <c r="I9" i="1"/>
  <c r="J9" i="1"/>
  <c r="K9" i="1"/>
  <c r="L9" i="1"/>
  <c r="B10" i="1"/>
  <c r="C10" i="1"/>
  <c r="D10" i="1"/>
  <c r="E10" i="1"/>
  <c r="F10" i="1"/>
  <c r="G10" i="1"/>
  <c r="H10" i="1"/>
  <c r="I10" i="1"/>
  <c r="J10" i="1"/>
  <c r="K10" i="1"/>
  <c r="L10" i="1"/>
  <c r="B11" i="1"/>
  <c r="C11" i="1"/>
  <c r="D11" i="1"/>
  <c r="E11" i="1"/>
  <c r="F11" i="1"/>
  <c r="G11" i="1"/>
  <c r="H11" i="1"/>
  <c r="I11" i="1"/>
  <c r="J11" i="1"/>
  <c r="K11" i="1"/>
  <c r="L11" i="1"/>
  <c r="B12" i="1"/>
  <c r="C12" i="1"/>
  <c r="D12" i="1"/>
  <c r="E12" i="1"/>
  <c r="F12" i="1"/>
  <c r="G12" i="1"/>
  <c r="H12" i="1"/>
  <c r="I12" i="1"/>
  <c r="J12" i="1"/>
  <c r="K12" i="1"/>
  <c r="L12" i="1"/>
  <c r="B13" i="1"/>
  <c r="C13" i="1"/>
  <c r="D13" i="1"/>
  <c r="E13" i="1"/>
  <c r="F13" i="1"/>
  <c r="G13" i="1"/>
  <c r="H13" i="1"/>
  <c r="I13" i="1"/>
  <c r="J13" i="1"/>
  <c r="K13" i="1"/>
  <c r="L13" i="1"/>
  <c r="B14" i="1"/>
  <c r="C14" i="1"/>
  <c r="D14" i="1"/>
  <c r="E14" i="1"/>
  <c r="F14" i="1"/>
  <c r="G14" i="1"/>
  <c r="H14" i="1"/>
  <c r="I14" i="1"/>
  <c r="J14" i="1"/>
  <c r="K14" i="1"/>
  <c r="L14" i="1"/>
  <c r="B15" i="1"/>
  <c r="C15" i="1"/>
  <c r="D15" i="1"/>
  <c r="E15" i="1"/>
  <c r="F15" i="1"/>
  <c r="G15" i="1"/>
  <c r="H15" i="1"/>
  <c r="I15" i="1"/>
  <c r="J15" i="1"/>
  <c r="K15" i="1"/>
  <c r="L15" i="1"/>
  <c r="B16" i="1"/>
  <c r="C16" i="1"/>
  <c r="D16" i="1"/>
  <c r="E16" i="1"/>
  <c r="F16" i="1"/>
  <c r="G16" i="1"/>
  <c r="H16" i="1"/>
  <c r="I16" i="1"/>
  <c r="J16" i="1"/>
  <c r="K16" i="1"/>
  <c r="L16" i="1"/>
  <c r="B17" i="1"/>
  <c r="C17" i="1"/>
  <c r="D17" i="1"/>
  <c r="E17" i="1"/>
  <c r="F17" i="1"/>
  <c r="G17" i="1"/>
  <c r="H17" i="1"/>
  <c r="I17" i="1"/>
  <c r="J17" i="1"/>
  <c r="K17" i="1"/>
  <c r="L17" i="1"/>
  <c r="B18" i="1"/>
  <c r="C18" i="1"/>
  <c r="D18" i="1"/>
  <c r="E18" i="1"/>
  <c r="F18" i="1"/>
  <c r="G18" i="1"/>
  <c r="H18" i="1"/>
  <c r="I18" i="1"/>
  <c r="J18" i="1"/>
  <c r="K18" i="1"/>
  <c r="L18" i="1"/>
  <c r="B19" i="1"/>
  <c r="C19" i="1"/>
  <c r="D19" i="1"/>
  <c r="E19" i="1"/>
  <c r="F19" i="1"/>
  <c r="G19" i="1"/>
  <c r="H19" i="1"/>
  <c r="I19" i="1"/>
  <c r="J19" i="1"/>
  <c r="K19" i="1"/>
  <c r="L19" i="1"/>
  <c r="B20" i="1"/>
  <c r="C20" i="1"/>
  <c r="D20" i="1"/>
  <c r="E20" i="1"/>
  <c r="F20" i="1"/>
  <c r="G20" i="1"/>
  <c r="H20" i="1"/>
  <c r="I20" i="1"/>
  <c r="J20" i="1"/>
  <c r="K20" i="1"/>
  <c r="L20" i="1"/>
  <c r="B21" i="1"/>
  <c r="C21" i="1"/>
  <c r="D21" i="1"/>
  <c r="E21" i="1"/>
  <c r="F21" i="1"/>
  <c r="G21" i="1"/>
  <c r="H21" i="1"/>
  <c r="I21" i="1"/>
  <c r="J21" i="1"/>
  <c r="K21" i="1"/>
  <c r="L21" i="1"/>
  <c r="B22" i="1"/>
  <c r="C22" i="1"/>
  <c r="D22" i="1"/>
  <c r="E22" i="1"/>
  <c r="F22" i="1"/>
  <c r="G22" i="1"/>
  <c r="H22" i="1"/>
  <c r="I22" i="1"/>
  <c r="J22" i="1"/>
  <c r="K22" i="1"/>
  <c r="L22" i="1"/>
  <c r="B23" i="1"/>
  <c r="C23" i="1"/>
  <c r="D23" i="1"/>
  <c r="E23" i="1"/>
  <c r="F23" i="1"/>
  <c r="G23" i="1"/>
  <c r="H23" i="1"/>
  <c r="I23" i="1"/>
  <c r="J23" i="1"/>
  <c r="K23" i="1"/>
  <c r="L23" i="1"/>
  <c r="B24" i="1"/>
  <c r="C24" i="1"/>
  <c r="D24" i="1"/>
  <c r="E24" i="1"/>
  <c r="F24" i="1"/>
  <c r="G24" i="1"/>
  <c r="H24" i="1"/>
  <c r="I24" i="1"/>
  <c r="J24" i="1"/>
  <c r="K24" i="1"/>
  <c r="L24" i="1"/>
  <c r="B25" i="1"/>
  <c r="C25" i="1"/>
  <c r="D25" i="1"/>
  <c r="E25" i="1"/>
  <c r="F25" i="1"/>
  <c r="G25" i="1"/>
  <c r="H25" i="1"/>
  <c r="I25" i="1"/>
  <c r="J25" i="1"/>
  <c r="K25" i="1"/>
  <c r="L25" i="1"/>
  <c r="B26" i="1"/>
  <c r="C26" i="1"/>
  <c r="D26" i="1"/>
  <c r="E26" i="1"/>
  <c r="F26" i="1"/>
  <c r="G26" i="1"/>
  <c r="H26" i="1"/>
  <c r="I26" i="1"/>
  <c r="J26" i="1"/>
  <c r="K26" i="1"/>
  <c r="L26" i="1"/>
  <c r="B27" i="1"/>
  <c r="C27" i="1"/>
  <c r="D27" i="1"/>
  <c r="E27" i="1"/>
  <c r="F27" i="1"/>
  <c r="G27" i="1"/>
  <c r="H27" i="1"/>
  <c r="I27" i="1"/>
  <c r="J27" i="1"/>
  <c r="K27" i="1"/>
  <c r="L27" i="1"/>
  <c r="B28" i="1"/>
  <c r="C28" i="1"/>
  <c r="D28" i="1"/>
  <c r="E28" i="1"/>
  <c r="F28" i="1"/>
  <c r="G28" i="1"/>
  <c r="H28" i="1"/>
  <c r="I28" i="1"/>
  <c r="J28" i="1"/>
  <c r="K28" i="1"/>
  <c r="L28" i="1"/>
  <c r="B29" i="1"/>
  <c r="C29" i="1"/>
  <c r="D29" i="1"/>
  <c r="E29" i="1"/>
  <c r="F29" i="1"/>
  <c r="G29" i="1"/>
  <c r="H29" i="1"/>
  <c r="I29" i="1"/>
  <c r="J29" i="1"/>
  <c r="K29" i="1"/>
  <c r="L29" i="1"/>
  <c r="B30" i="1"/>
  <c r="C30" i="1"/>
  <c r="D30" i="1"/>
  <c r="E30" i="1"/>
  <c r="F30" i="1"/>
  <c r="G30" i="1"/>
  <c r="H30" i="1"/>
  <c r="I30" i="1"/>
  <c r="J30" i="1"/>
  <c r="K30" i="1"/>
  <c r="L30" i="1"/>
  <c r="B31" i="1"/>
  <c r="C31" i="1"/>
  <c r="D31" i="1"/>
  <c r="E31" i="1"/>
  <c r="F31" i="1"/>
  <c r="G31" i="1"/>
  <c r="H31" i="1"/>
  <c r="I31" i="1"/>
  <c r="J31" i="1"/>
  <c r="K31" i="1"/>
  <c r="L31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2" i="1"/>
  <c r="F3" i="2" l="1"/>
  <c r="B3" i="2" s="1"/>
  <c r="F6" i="2"/>
  <c r="B6" i="2" s="1"/>
  <c r="F5" i="2"/>
  <c r="B5" i="2" s="1"/>
  <c r="F4" i="2"/>
  <c r="B4" i="2" s="1"/>
  <c r="F2" i="2"/>
  <c r="B2" i="2" s="1"/>
  <c r="A6" i="2"/>
  <c r="A2" i="2"/>
  <c r="A5" i="2"/>
  <c r="A4" i="2"/>
  <c r="E7" i="2" l="1"/>
  <c r="A7" i="2" s="1"/>
  <c r="F7" i="2"/>
  <c r="B7" i="2" s="1"/>
  <c r="E8" i="2" l="1"/>
  <c r="A8" i="2" s="1"/>
  <c r="F8" i="2"/>
  <c r="B8" i="2" s="1"/>
  <c r="E10" i="2" l="1"/>
  <c r="A10" i="2" s="1"/>
  <c r="F10" i="2"/>
  <c r="B10" i="2" s="1"/>
  <c r="E9" i="2"/>
  <c r="A9" i="2" s="1"/>
  <c r="F9" i="2"/>
  <c r="B9" i="2" s="1"/>
  <c r="E11" i="2" l="1"/>
  <c r="A11" i="2" s="1"/>
  <c r="F11" i="2"/>
  <c r="B11" i="2" s="1"/>
  <c r="E12" i="2" l="1"/>
  <c r="A12" i="2" s="1"/>
  <c r="F12" i="2"/>
  <c r="B12" i="2" s="1"/>
  <c r="E13" i="2" l="1"/>
  <c r="A13" i="2" s="1"/>
  <c r="F13" i="2"/>
  <c r="B13" i="2" s="1"/>
  <c r="E14" i="2" l="1"/>
  <c r="A14" i="2" s="1"/>
  <c r="F14" i="2"/>
  <c r="B14" i="2" s="1"/>
  <c r="E15" i="2" l="1"/>
  <c r="A15" i="2" s="1"/>
  <c r="F15" i="2"/>
  <c r="B15" i="2" s="1"/>
  <c r="E16" i="2" l="1"/>
  <c r="A16" i="2" s="1"/>
  <c r="F16" i="2"/>
  <c r="B16" i="2" s="1"/>
  <c r="E17" i="2" l="1"/>
  <c r="A17" i="2" s="1"/>
  <c r="F17" i="2"/>
  <c r="B17" i="2" s="1"/>
  <c r="E18" i="2" l="1"/>
  <c r="A18" i="2" s="1"/>
  <c r="F18" i="2"/>
  <c r="B18" i="2" s="1"/>
  <c r="E19" i="2" l="1"/>
  <c r="A19" i="2" s="1"/>
  <c r="F19" i="2"/>
  <c r="B19" i="2" s="1"/>
  <c r="E20" i="2" l="1"/>
  <c r="A20" i="2" s="1"/>
  <c r="F20" i="2"/>
  <c r="B20" i="2" s="1"/>
</calcChain>
</file>

<file path=xl/sharedStrings.xml><?xml version="1.0" encoding="utf-8"?>
<sst xmlns="http://schemas.openxmlformats.org/spreadsheetml/2006/main" count="51" uniqueCount="41">
  <si>
    <t>X</t>
    <phoneticPr fontId="1"/>
  </si>
  <si>
    <t>Z</t>
    <phoneticPr fontId="1"/>
  </si>
  <si>
    <t>sin</t>
    <phoneticPr fontId="1"/>
  </si>
  <si>
    <t>cos</t>
    <phoneticPr fontId="1"/>
  </si>
  <si>
    <t>roundX</t>
    <phoneticPr fontId="1"/>
  </si>
  <si>
    <t>roundZ</t>
    <phoneticPr fontId="1"/>
  </si>
  <si>
    <t>lvl</t>
    <phoneticPr fontId="1"/>
  </si>
  <si>
    <t>evasion</t>
    <phoneticPr fontId="1"/>
  </si>
  <si>
    <t>近似</t>
    <rPh sb="0" eb="2">
      <t>キンジ</t>
    </rPh>
    <phoneticPr fontId="1"/>
  </si>
  <si>
    <t>0.5x^2+40</t>
    <phoneticPr fontId="1"/>
  </si>
  <si>
    <t>120x-5150</t>
    <phoneticPr fontId="1"/>
  </si>
  <si>
    <t>1~55</t>
    <phoneticPr fontId="1"/>
  </si>
  <si>
    <t>56~</t>
    <phoneticPr fontId="1"/>
  </si>
  <si>
    <t>accuracy</t>
    <phoneticPr fontId="1"/>
  </si>
  <si>
    <t>life</t>
    <phoneticPr fontId="1"/>
  </si>
  <si>
    <t>damage</t>
    <phoneticPr fontId="1"/>
  </si>
  <si>
    <t>Name</t>
    <phoneticPr fontId="1"/>
  </si>
  <si>
    <t>ID</t>
    <phoneticPr fontId="1"/>
  </si>
  <si>
    <t>Count1</t>
    <phoneticPr fontId="1"/>
  </si>
  <si>
    <t>Count2</t>
    <phoneticPr fontId="1"/>
  </si>
  <si>
    <t>Mob1</t>
    <phoneticPr fontId="1"/>
  </si>
  <si>
    <t>Mob2</t>
    <phoneticPr fontId="1"/>
  </si>
  <si>
    <t>ハスク</t>
    <phoneticPr fontId="1"/>
  </si>
  <si>
    <t>husk</t>
    <phoneticPr fontId="1"/>
  </si>
  <si>
    <t>DisplayLevel</t>
  </si>
  <si>
    <t>Damage</t>
  </si>
  <si>
    <t>Evasion</t>
  </si>
  <si>
    <t>Accuracy</t>
  </si>
  <si>
    <t>Life</t>
  </si>
  <si>
    <t>Experience</t>
  </si>
  <si>
    <t>AllyLife</t>
  </si>
  <si>
    <t>Unknown0</t>
  </si>
  <si>
    <t>Difficulty</t>
  </si>
  <si>
    <t>Damage2</t>
  </si>
  <si>
    <t>Unknown1</t>
  </si>
  <si>
    <t>Unknown2</t>
  </si>
  <si>
    <t>Unknown3</t>
  </si>
  <si>
    <t>Unknown4</t>
  </si>
  <si>
    <t>Z2</t>
    <phoneticPr fontId="1"/>
  </si>
  <si>
    <t>Z3</t>
    <phoneticPr fontId="1"/>
  </si>
  <si>
    <t>pi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</si>
</sst>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0" xfId="0" applyFill="1">
      <alignment vertical="center"/>
    </xf>
    <xf numFmtId="0" fontId="3" fillId="3" borderId="2" xfId="0" applyFont="1" applyFill="1" applyBorder="1" applyAlignment="1">
      <alignment horizontal="center" vertical="center" readingOrder="1"/>
    </xf>
    <xf numFmtId="0" fontId="3" fillId="4" borderId="2" xfId="0" applyFont="1" applyFill="1" applyBorder="1" applyAlignment="1">
      <alignment horizontal="center" readingOrder="1"/>
    </xf>
    <xf numFmtId="0" fontId="3" fillId="3" borderId="2" xfId="0" applyFont="1" applyFill="1" applyBorder="1" applyAlignment="1">
      <alignment horizontal="center" readingOrder="1"/>
    </xf>
    <xf numFmtId="0" fontId="3" fillId="3" borderId="3" xfId="0" applyFont="1" applyFill="1" applyBorder="1" applyAlignment="1">
      <alignment horizontal="center" readingOrder="1"/>
    </xf>
    <xf numFmtId="0" fontId="3" fillId="5" borderId="2" xfId="0" applyFont="1" applyFill="1" applyBorder="1" applyAlignment="1">
      <alignment horizontal="center" vertical="center" readingOrder="1"/>
    </xf>
    <xf numFmtId="0" fontId="3" fillId="4" borderId="3" xfId="0" applyFont="1" applyFill="1" applyBorder="1" applyAlignment="1">
      <alignment horizontal="center" readingOrder="1"/>
    </xf>
    <xf numFmtId="0" fontId="3" fillId="4" borderId="2" xfId="0" applyFont="1" applyFill="1" applyBorder="1" applyAlignment="1">
      <alignment horizontal="center" vertical="center" readingOrder="1"/>
    </xf>
    <xf numFmtId="0" fontId="3" fillId="4" borderId="3" xfId="0" applyFont="1" applyFill="1" applyBorder="1" applyAlignment="1">
      <alignment horizontal="center" vertical="center" readingOrder="1"/>
    </xf>
    <xf numFmtId="0" fontId="4" fillId="3" borderId="2" xfId="0" applyFont="1" applyFill="1" applyBorder="1" applyAlignment="1">
      <alignment horizontal="center" readingOrder="1"/>
    </xf>
    <xf numFmtId="0" fontId="2" fillId="4" borderId="2" xfId="0" applyFont="1" applyFill="1" applyBorder="1" applyAlignment="1">
      <alignment horizontal="center" readingOrder="1"/>
    </xf>
    <xf numFmtId="0" fontId="2" fillId="3" borderId="2" xfId="0" applyFont="1" applyFill="1" applyBorder="1" applyAlignment="1">
      <alignment horizontal="center" readingOrder="1"/>
    </xf>
    <xf numFmtId="0" fontId="2" fillId="5" borderId="2" xfId="0" applyFont="1" applyFill="1" applyBorder="1" applyAlignment="1">
      <alignment horizontal="center" readingOrder="1"/>
    </xf>
    <xf numFmtId="0" fontId="4" fillId="6" borderId="2" xfId="0" applyFont="1" applyFill="1" applyBorder="1" applyAlignment="1">
      <alignment horizontal="center" readingOrder="1"/>
    </xf>
    <xf numFmtId="0" fontId="2" fillId="6" borderId="2" xfId="0" applyFont="1" applyFill="1" applyBorder="1" applyAlignment="1">
      <alignment horizontal="center" readingOrder="1"/>
    </xf>
    <xf numFmtId="0" fontId="2" fillId="7" borderId="2" xfId="0" applyFont="1" applyFill="1" applyBorder="1" applyAlignment="1">
      <alignment horizontal="center" readingOrder="1"/>
    </xf>
  </cellXfs>
  <cellStyles count="1">
    <cellStyle name="標準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1571522309711286"/>
          <c:y val="0.13004629629629633"/>
          <c:w val="0.4446181102362205"/>
          <c:h val="0.77736111111111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'spawn area'!$B$1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'spawn area'!$A$2:$A$63</c:f>
              <c:numCache>
                <c:formatCode>General</c:formatCode>
                <c:ptCount val="62"/>
                <c:pt idx="0">
                  <c:v>0.10796574481390371</c:v>
                </c:pt>
                <c:pt idx="1">
                  <c:v>-1.4196385984948787</c:v>
                </c:pt>
                <c:pt idx="2">
                  <c:v>9.5046122641557457E-2</c:v>
                </c:pt>
                <c:pt idx="3">
                  <c:v>2.2740806063365424</c:v>
                </c:pt>
                <c:pt idx="4">
                  <c:v>2.6243255096370804E-2</c:v>
                </c:pt>
                <c:pt idx="5">
                  <c:v>-3.0388161170855272</c:v>
                </c:pt>
                <c:pt idx="6">
                  <c:v>-0.99746464584464278</c:v>
                </c:pt>
                <c:pt idx="7">
                  <c:v>3.2737231521089538</c:v>
                </c:pt>
                <c:pt idx="8">
                  <c:v>2.9605357541501816</c:v>
                </c:pt>
                <c:pt idx="9">
                  <c:v>-1.8293712724403199</c:v>
                </c:pt>
                <c:pt idx="10">
                  <c:v>-4.7119313017458175</c:v>
                </c:pt>
                <c:pt idx="11">
                  <c:v>-2.0335325861062805</c:v>
                </c:pt>
                <c:pt idx="12">
                  <c:v>3.1512783383011502</c:v>
                </c:pt>
                <c:pt idx="13">
                  <c:v>5.473352181263091</c:v>
                </c:pt>
                <c:pt idx="14">
                  <c:v>2.9339517426519777</c:v>
                </c:pt>
                <c:pt idx="15">
                  <c:v>-2.0629269367832124</c:v>
                </c:pt>
                <c:pt idx="16">
                  <c:v>-5.6809745905391074</c:v>
                </c:pt>
                <c:pt idx="17">
                  <c:v>-5.7636558124876602</c:v>
                </c:pt>
                <c:pt idx="18">
                  <c:v>-2.7194890075007949</c:v>
                </c:pt>
                <c:pt idx="19">
                  <c:v>1.521397434726756</c:v>
                </c:pt>
                <c:pt idx="20">
                  <c:v>5.0113469483120578</c:v>
                </c:pt>
                <c:pt idx="21">
                  <c:v>6.6862563922030995</c:v>
                </c:pt>
                <c:pt idx="22">
                  <c:v>6.4673153818817024</c:v>
                </c:pt>
                <c:pt idx="23">
                  <c:v>4.894083689362029</c:v>
                </c:pt>
                <c:pt idx="24">
                  <c:v>2.6823890458981139</c:v>
                </c:pt>
                <c:pt idx="25">
                  <c:v>0.42783245306166345</c:v>
                </c:pt>
                <c:pt idx="26">
                  <c:v>-1.5058399166147027</c:v>
                </c:pt>
                <c:pt idx="27">
                  <c:v>-2.9699578250298484</c:v>
                </c:pt>
                <c:pt idx="28">
                  <c:v>-3.9588157185277213</c:v>
                </c:pt>
                <c:pt idx="29">
                  <c:v>-5.2532873714846771</c:v>
                </c:pt>
                <c:pt idx="30">
                  <c:v>1</c:v>
                </c:pt>
                <c:pt idx="31">
                  <c:v>0</c:v>
                </c:pt>
                <c:pt idx="32">
                  <c:v>1.4</c:v>
                </c:pt>
                <c:pt idx="33">
                  <c:v>-1.7</c:v>
                </c:pt>
                <c:pt idx="34">
                  <c:v>-2.8</c:v>
                </c:pt>
                <c:pt idx="35">
                  <c:v>1.7</c:v>
                </c:pt>
                <c:pt idx="36">
                  <c:v>3.8</c:v>
                </c:pt>
                <c:pt idx="37">
                  <c:v>0.7</c:v>
                </c:pt>
                <c:pt idx="38">
                  <c:v>-3.8</c:v>
                </c:pt>
              </c:numCache>
            </c:numRef>
          </c:xVal>
          <c:yVal>
            <c:numRef>
              <c:f>'spawn area'!$B$2:$B$63</c:f>
              <c:numCache>
                <c:formatCode>General</c:formatCode>
                <c:ptCount val="62"/>
                <c:pt idx="0">
                  <c:v>-0.95822248811134125</c:v>
                </c:pt>
                <c:pt idx="1">
                  <c:v>-3.4772834558944045E-3</c:v>
                </c:pt>
                <c:pt idx="2">
                  <c:v>1.8547090948198701</c:v>
                </c:pt>
                <c:pt idx="3">
                  <c:v>-0.11095307413286556</c:v>
                </c:pt>
                <c:pt idx="4">
                  <c:v>-2.6784428665777309</c:v>
                </c:pt>
                <c:pt idx="5">
                  <c:v>-0.38013531346250951</c:v>
                </c:pt>
                <c:pt idx="6">
                  <c:v>3.280269245215452</c:v>
                </c:pt>
                <c:pt idx="7">
                  <c:v>1.8833074775454137</c:v>
                </c:pt>
                <c:pt idx="8">
                  <c:v>-2.8467262772135311</c:v>
                </c:pt>
                <c:pt idx="9">
                  <c:v>-4.0232628216739661</c:v>
                </c:pt>
                <c:pt idx="10">
                  <c:v>0.14897383510646928</c:v>
                </c:pt>
                <c:pt idx="11">
                  <c:v>4.5580192218052291</c:v>
                </c:pt>
                <c:pt idx="12">
                  <c:v>4.1990409422335881</c:v>
                </c:pt>
                <c:pt idx="13">
                  <c:v>-0.44077356265551826</c:v>
                </c:pt>
                <c:pt idx="14">
                  <c:v>-4.903568944786973</c:v>
                </c:pt>
                <c:pt idx="15">
                  <c:v>-5.5485587326455041</c:v>
                </c:pt>
                <c:pt idx="16">
                  <c:v>-2.2413660074160231</c:v>
                </c:pt>
                <c:pt idx="17">
                  <c:v>2.4856207631572511</c:v>
                </c:pt>
                <c:pt idx="18">
                  <c:v>5.8250244763715147</c:v>
                </c:pt>
                <c:pt idx="19">
                  <c:v>6.3837102139435213</c:v>
                </c:pt>
                <c:pt idx="20">
                  <c:v>4.4147160826234382</c:v>
                </c:pt>
                <c:pt idx="21">
                  <c:v>1.1039927875987845</c:v>
                </c:pt>
                <c:pt idx="22">
                  <c:v>-2.2790875179645096</c:v>
                </c:pt>
                <c:pt idx="23">
                  <c:v>-4.8917688121914251</c:v>
                </c:pt>
                <c:pt idx="24">
                  <c:v>-6.4269794240101543</c:v>
                </c:pt>
                <c:pt idx="25">
                  <c:v>-6.9779681219890222</c:v>
                </c:pt>
                <c:pt idx="26">
                  <c:v>-6.8361133800961662</c:v>
                </c:pt>
                <c:pt idx="27">
                  <c:v>-6.3288569455259243</c:v>
                </c:pt>
                <c:pt idx="28">
                  <c:v>-5.7296643546495742</c:v>
                </c:pt>
                <c:pt idx="29">
                  <c:v>-4.5721162827298807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AF-4A68-AD48-338F49C927F3}"/>
            </c:ext>
          </c:extLst>
        </c:ser>
        <c:ser>
          <c:idx val="1"/>
          <c:order val="1"/>
          <c:tx>
            <c:strRef>
              <c:f>'spawn area'!$C$1</c:f>
              <c:strCache>
                <c:ptCount val="1"/>
                <c:pt idx="0">
                  <c:v>Z2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'spawn area'!$A$2:$A$63</c:f>
              <c:numCache>
                <c:formatCode>General</c:formatCode>
                <c:ptCount val="62"/>
                <c:pt idx="0">
                  <c:v>0.10796574481390371</c:v>
                </c:pt>
                <c:pt idx="1">
                  <c:v>-1.4196385984948787</c:v>
                </c:pt>
                <c:pt idx="2">
                  <c:v>9.5046122641557457E-2</c:v>
                </c:pt>
                <c:pt idx="3">
                  <c:v>2.2740806063365424</c:v>
                </c:pt>
                <c:pt idx="4">
                  <c:v>2.6243255096370804E-2</c:v>
                </c:pt>
                <c:pt idx="5">
                  <c:v>-3.0388161170855272</c:v>
                </c:pt>
                <c:pt idx="6">
                  <c:v>-0.99746464584464278</c:v>
                </c:pt>
                <c:pt idx="7">
                  <c:v>3.2737231521089538</c:v>
                </c:pt>
                <c:pt idx="8">
                  <c:v>2.9605357541501816</c:v>
                </c:pt>
                <c:pt idx="9">
                  <c:v>-1.8293712724403199</c:v>
                </c:pt>
                <c:pt idx="10">
                  <c:v>-4.7119313017458175</c:v>
                </c:pt>
                <c:pt idx="11">
                  <c:v>-2.0335325861062805</c:v>
                </c:pt>
                <c:pt idx="12">
                  <c:v>3.1512783383011502</c:v>
                </c:pt>
                <c:pt idx="13">
                  <c:v>5.473352181263091</c:v>
                </c:pt>
                <c:pt idx="14">
                  <c:v>2.9339517426519777</c:v>
                </c:pt>
                <c:pt idx="15">
                  <c:v>-2.0629269367832124</c:v>
                </c:pt>
                <c:pt idx="16">
                  <c:v>-5.6809745905391074</c:v>
                </c:pt>
                <c:pt idx="17">
                  <c:v>-5.7636558124876602</c:v>
                </c:pt>
                <c:pt idx="18">
                  <c:v>-2.7194890075007949</c:v>
                </c:pt>
                <c:pt idx="19">
                  <c:v>1.521397434726756</c:v>
                </c:pt>
                <c:pt idx="20">
                  <c:v>5.0113469483120578</c:v>
                </c:pt>
                <c:pt idx="21">
                  <c:v>6.6862563922030995</c:v>
                </c:pt>
                <c:pt idx="22">
                  <c:v>6.4673153818817024</c:v>
                </c:pt>
                <c:pt idx="23">
                  <c:v>4.894083689362029</c:v>
                </c:pt>
                <c:pt idx="24">
                  <c:v>2.6823890458981139</c:v>
                </c:pt>
                <c:pt idx="25">
                  <c:v>0.42783245306166345</c:v>
                </c:pt>
                <c:pt idx="26">
                  <c:v>-1.5058399166147027</c:v>
                </c:pt>
                <c:pt idx="27">
                  <c:v>-2.9699578250298484</c:v>
                </c:pt>
                <c:pt idx="28">
                  <c:v>-3.9588157185277213</c:v>
                </c:pt>
                <c:pt idx="29">
                  <c:v>-5.2532873714846771</c:v>
                </c:pt>
                <c:pt idx="30">
                  <c:v>1</c:v>
                </c:pt>
                <c:pt idx="31">
                  <c:v>0</c:v>
                </c:pt>
                <c:pt idx="32">
                  <c:v>1.4</c:v>
                </c:pt>
                <c:pt idx="33">
                  <c:v>-1.7</c:v>
                </c:pt>
                <c:pt idx="34">
                  <c:v>-2.8</c:v>
                </c:pt>
                <c:pt idx="35">
                  <c:v>1.7</c:v>
                </c:pt>
                <c:pt idx="36">
                  <c:v>3.8</c:v>
                </c:pt>
                <c:pt idx="37">
                  <c:v>0.7</c:v>
                </c:pt>
                <c:pt idx="38">
                  <c:v>-3.8</c:v>
                </c:pt>
              </c:numCache>
            </c:numRef>
          </c:xVal>
          <c:yVal>
            <c:numRef>
              <c:f>'spawn area'!$C$2:$C$63</c:f>
              <c:numCache>
                <c:formatCode>General</c:formatCode>
                <c:ptCount val="62"/>
                <c:pt idx="31">
                  <c:v>0.4</c:v>
                </c:pt>
                <c:pt idx="32">
                  <c:v>-2.1</c:v>
                </c:pt>
                <c:pt idx="33">
                  <c:v>-2.6</c:v>
                </c:pt>
                <c:pt idx="34">
                  <c:v>1.9</c:v>
                </c:pt>
                <c:pt idx="35">
                  <c:v>3</c:v>
                </c:pt>
                <c:pt idx="36">
                  <c:v>-1.5</c:v>
                </c:pt>
                <c:pt idx="37">
                  <c:v>-4.7</c:v>
                </c:pt>
                <c:pt idx="38">
                  <c:v>-3.6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43-49F4-954B-2784D989F894}"/>
            </c:ext>
          </c:extLst>
        </c:ser>
        <c:ser>
          <c:idx val="2"/>
          <c:order val="2"/>
          <c:tx>
            <c:strRef>
              <c:f>'spawn area'!$D$1</c:f>
              <c:strCache>
                <c:ptCount val="1"/>
                <c:pt idx="0">
                  <c:v>Z3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'spawn area'!$A$2:$A$63</c:f>
              <c:numCache>
                <c:formatCode>General</c:formatCode>
                <c:ptCount val="62"/>
                <c:pt idx="0">
                  <c:v>0.10796574481390371</c:v>
                </c:pt>
                <c:pt idx="1">
                  <c:v>-1.4196385984948787</c:v>
                </c:pt>
                <c:pt idx="2">
                  <c:v>9.5046122641557457E-2</c:v>
                </c:pt>
                <c:pt idx="3">
                  <c:v>2.2740806063365424</c:v>
                </c:pt>
                <c:pt idx="4">
                  <c:v>2.6243255096370804E-2</c:v>
                </c:pt>
                <c:pt idx="5">
                  <c:v>-3.0388161170855272</c:v>
                </c:pt>
                <c:pt idx="6">
                  <c:v>-0.99746464584464278</c:v>
                </c:pt>
                <c:pt idx="7">
                  <c:v>3.2737231521089538</c:v>
                </c:pt>
                <c:pt idx="8">
                  <c:v>2.9605357541501816</c:v>
                </c:pt>
                <c:pt idx="9">
                  <c:v>-1.8293712724403199</c:v>
                </c:pt>
                <c:pt idx="10">
                  <c:v>-4.7119313017458175</c:v>
                </c:pt>
                <c:pt idx="11">
                  <c:v>-2.0335325861062805</c:v>
                </c:pt>
                <c:pt idx="12">
                  <c:v>3.1512783383011502</c:v>
                </c:pt>
                <c:pt idx="13">
                  <c:v>5.473352181263091</c:v>
                </c:pt>
                <c:pt idx="14">
                  <c:v>2.9339517426519777</c:v>
                </c:pt>
                <c:pt idx="15">
                  <c:v>-2.0629269367832124</c:v>
                </c:pt>
                <c:pt idx="16">
                  <c:v>-5.6809745905391074</c:v>
                </c:pt>
                <c:pt idx="17">
                  <c:v>-5.7636558124876602</c:v>
                </c:pt>
                <c:pt idx="18">
                  <c:v>-2.7194890075007949</c:v>
                </c:pt>
                <c:pt idx="19">
                  <c:v>1.521397434726756</c:v>
                </c:pt>
                <c:pt idx="20">
                  <c:v>5.0113469483120578</c:v>
                </c:pt>
                <c:pt idx="21">
                  <c:v>6.6862563922030995</c:v>
                </c:pt>
                <c:pt idx="22">
                  <c:v>6.4673153818817024</c:v>
                </c:pt>
                <c:pt idx="23">
                  <c:v>4.894083689362029</c:v>
                </c:pt>
                <c:pt idx="24">
                  <c:v>2.6823890458981139</c:v>
                </c:pt>
                <c:pt idx="25">
                  <c:v>0.42783245306166345</c:v>
                </c:pt>
                <c:pt idx="26">
                  <c:v>-1.5058399166147027</c:v>
                </c:pt>
                <c:pt idx="27">
                  <c:v>-2.9699578250298484</c:v>
                </c:pt>
                <c:pt idx="28">
                  <c:v>-3.9588157185277213</c:v>
                </c:pt>
                <c:pt idx="29">
                  <c:v>-5.2532873714846771</c:v>
                </c:pt>
                <c:pt idx="30">
                  <c:v>1</c:v>
                </c:pt>
                <c:pt idx="31">
                  <c:v>0</c:v>
                </c:pt>
                <c:pt idx="32">
                  <c:v>1.4</c:v>
                </c:pt>
                <c:pt idx="33">
                  <c:v>-1.7</c:v>
                </c:pt>
                <c:pt idx="34">
                  <c:v>-2.8</c:v>
                </c:pt>
                <c:pt idx="35">
                  <c:v>1.7</c:v>
                </c:pt>
                <c:pt idx="36">
                  <c:v>3.8</c:v>
                </c:pt>
                <c:pt idx="37">
                  <c:v>0.7</c:v>
                </c:pt>
                <c:pt idx="38">
                  <c:v>-3.8</c:v>
                </c:pt>
              </c:numCache>
            </c:numRef>
          </c:xVal>
          <c:yVal>
            <c:numRef>
              <c:f>'spawn area'!$D$2:$D$63</c:f>
              <c:numCache>
                <c:formatCode>General</c:formatCode>
                <c:ptCount val="62"/>
                <c:pt idx="30">
                  <c:v>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043-49F4-954B-2784D989F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338480"/>
        <c:axId val="470339464"/>
      </c:scatterChart>
      <c:valAx>
        <c:axId val="470338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0339464"/>
        <c:crosses val="autoZero"/>
        <c:crossBetween val="midCat"/>
        <c:majorUnit val="1"/>
      </c:valAx>
      <c:valAx>
        <c:axId val="470339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0338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life!$B$1</c:f>
              <c:strCache>
                <c:ptCount val="1"/>
                <c:pt idx="0">
                  <c:v>life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7.850393700787401E-3"/>
                  <c:y val="2.2969524642752989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life!$A$2:$A$84</c:f>
              <c:numCache>
                <c:formatCode>General</c:formatCode>
                <c:ptCount val="8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</c:numCache>
            </c:numRef>
          </c:xVal>
          <c:yVal>
            <c:numRef>
              <c:f>life!$B$2:$B$84</c:f>
              <c:numCache>
                <c:formatCode>General</c:formatCode>
                <c:ptCount val="83"/>
                <c:pt idx="0">
                  <c:v>15</c:v>
                </c:pt>
                <c:pt idx="1">
                  <c:v>18</c:v>
                </c:pt>
                <c:pt idx="2">
                  <c:v>21</c:v>
                </c:pt>
                <c:pt idx="3">
                  <c:v>25</c:v>
                </c:pt>
                <c:pt idx="4">
                  <c:v>29</c:v>
                </c:pt>
                <c:pt idx="5">
                  <c:v>33</c:v>
                </c:pt>
                <c:pt idx="6">
                  <c:v>38</c:v>
                </c:pt>
                <c:pt idx="7">
                  <c:v>43</c:v>
                </c:pt>
                <c:pt idx="8">
                  <c:v>49</c:v>
                </c:pt>
                <c:pt idx="9">
                  <c:v>55</c:v>
                </c:pt>
                <c:pt idx="10">
                  <c:v>61</c:v>
                </c:pt>
                <c:pt idx="11">
                  <c:v>68</c:v>
                </c:pt>
                <c:pt idx="12">
                  <c:v>76</c:v>
                </c:pt>
                <c:pt idx="13">
                  <c:v>85</c:v>
                </c:pt>
                <c:pt idx="14">
                  <c:v>94</c:v>
                </c:pt>
                <c:pt idx="15">
                  <c:v>114</c:v>
                </c:pt>
                <c:pt idx="16">
                  <c:v>126</c:v>
                </c:pt>
                <c:pt idx="17">
                  <c:v>138</c:v>
                </c:pt>
                <c:pt idx="18">
                  <c:v>152</c:v>
                </c:pt>
                <c:pt idx="19">
                  <c:v>166</c:v>
                </c:pt>
                <c:pt idx="20">
                  <c:v>182</c:v>
                </c:pt>
                <c:pt idx="21">
                  <c:v>199</c:v>
                </c:pt>
                <c:pt idx="22">
                  <c:v>217</c:v>
                </c:pt>
                <c:pt idx="23">
                  <c:v>236</c:v>
                </c:pt>
                <c:pt idx="24">
                  <c:v>257</c:v>
                </c:pt>
                <c:pt idx="25">
                  <c:v>280</c:v>
                </c:pt>
                <c:pt idx="26">
                  <c:v>304</c:v>
                </c:pt>
                <c:pt idx="27">
                  <c:v>331</c:v>
                </c:pt>
                <c:pt idx="28">
                  <c:v>359</c:v>
                </c:pt>
                <c:pt idx="29">
                  <c:v>389</c:v>
                </c:pt>
                <c:pt idx="30">
                  <c:v>422</c:v>
                </c:pt>
                <c:pt idx="31">
                  <c:v>456</c:v>
                </c:pt>
                <c:pt idx="32">
                  <c:v>494</c:v>
                </c:pt>
                <c:pt idx="33">
                  <c:v>534</c:v>
                </c:pt>
                <c:pt idx="34">
                  <c:v>577</c:v>
                </c:pt>
                <c:pt idx="35">
                  <c:v>624</c:v>
                </c:pt>
                <c:pt idx="36">
                  <c:v>673</c:v>
                </c:pt>
                <c:pt idx="37">
                  <c:v>726</c:v>
                </c:pt>
                <c:pt idx="38">
                  <c:v>783</c:v>
                </c:pt>
                <c:pt idx="39">
                  <c:v>844</c:v>
                </c:pt>
                <c:pt idx="40">
                  <c:v>910</c:v>
                </c:pt>
                <c:pt idx="41">
                  <c:v>980</c:v>
                </c:pt>
                <c:pt idx="42">
                  <c:v>1055</c:v>
                </c:pt>
                <c:pt idx="43">
                  <c:v>1135</c:v>
                </c:pt>
                <c:pt idx="44">
                  <c:v>1221</c:v>
                </c:pt>
                <c:pt idx="45">
                  <c:v>1303</c:v>
                </c:pt>
                <c:pt idx="46">
                  <c:v>1411</c:v>
                </c:pt>
                <c:pt idx="47">
                  <c:v>1516</c:v>
                </c:pt>
                <c:pt idx="48">
                  <c:v>1629</c:v>
                </c:pt>
                <c:pt idx="49">
                  <c:v>1749</c:v>
                </c:pt>
                <c:pt idx="50">
                  <c:v>1878</c:v>
                </c:pt>
                <c:pt idx="51">
                  <c:v>2015</c:v>
                </c:pt>
                <c:pt idx="52">
                  <c:v>2162</c:v>
                </c:pt>
                <c:pt idx="53">
                  <c:v>2319</c:v>
                </c:pt>
                <c:pt idx="54">
                  <c:v>2486</c:v>
                </c:pt>
                <c:pt idx="55">
                  <c:v>2665</c:v>
                </c:pt>
                <c:pt idx="56">
                  <c:v>2857</c:v>
                </c:pt>
                <c:pt idx="57">
                  <c:v>3061</c:v>
                </c:pt>
                <c:pt idx="58">
                  <c:v>3279</c:v>
                </c:pt>
                <c:pt idx="59">
                  <c:v>3512</c:v>
                </c:pt>
                <c:pt idx="60">
                  <c:v>3760</c:v>
                </c:pt>
                <c:pt idx="61">
                  <c:v>4025</c:v>
                </c:pt>
                <c:pt idx="62">
                  <c:v>4308</c:v>
                </c:pt>
                <c:pt idx="63">
                  <c:v>4610</c:v>
                </c:pt>
                <c:pt idx="64">
                  <c:v>4932</c:v>
                </c:pt>
                <c:pt idx="65">
                  <c:v>5276</c:v>
                </c:pt>
                <c:pt idx="66">
                  <c:v>5642</c:v>
                </c:pt>
                <c:pt idx="67">
                  <c:v>6033</c:v>
                </c:pt>
                <c:pt idx="68">
                  <c:v>6449</c:v>
                </c:pt>
                <c:pt idx="69">
                  <c:v>6894</c:v>
                </c:pt>
                <c:pt idx="70">
                  <c:v>7367</c:v>
                </c:pt>
                <c:pt idx="71">
                  <c:v>7872</c:v>
                </c:pt>
                <c:pt idx="72">
                  <c:v>8410</c:v>
                </c:pt>
                <c:pt idx="73">
                  <c:v>8984</c:v>
                </c:pt>
                <c:pt idx="74">
                  <c:v>9595</c:v>
                </c:pt>
                <c:pt idx="75">
                  <c:v>10246</c:v>
                </c:pt>
                <c:pt idx="76">
                  <c:v>10940</c:v>
                </c:pt>
                <c:pt idx="77">
                  <c:v>11679</c:v>
                </c:pt>
                <c:pt idx="78">
                  <c:v>12466</c:v>
                </c:pt>
                <c:pt idx="79">
                  <c:v>13304</c:v>
                </c:pt>
                <c:pt idx="80">
                  <c:v>14198</c:v>
                </c:pt>
                <c:pt idx="81">
                  <c:v>15149</c:v>
                </c:pt>
                <c:pt idx="82">
                  <c:v>16161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23-4E07-B5FB-7C65BD8F3AC2}"/>
            </c:ext>
          </c:extLst>
        </c:ser>
        <c:ser>
          <c:idx val="1"/>
          <c:order val="1"/>
          <c:tx>
            <c:strRef>
              <c:f>life!$C$1</c:f>
              <c:strCache>
                <c:ptCount val="1"/>
                <c:pt idx="0">
                  <c:v>近似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life!$A$2:$A$84</c:f>
              <c:numCache>
                <c:formatCode>General</c:formatCode>
                <c:ptCount val="8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</c:numCache>
            </c:numRef>
          </c:xVal>
          <c:yVal>
            <c:numRef>
              <c:f>life!$C$2:$C$84</c:f>
              <c:numCache>
                <c:formatCode>General</c:formatCode>
                <c:ptCount val="83"/>
                <c:pt idx="0">
                  <c:v>16.25</c:v>
                </c:pt>
                <c:pt idx="1">
                  <c:v>17.16</c:v>
                </c:pt>
                <c:pt idx="2">
                  <c:v>18.43</c:v>
                </c:pt>
                <c:pt idx="3">
                  <c:v>20.12</c:v>
                </c:pt>
                <c:pt idx="4">
                  <c:v>22.29</c:v>
                </c:pt>
                <c:pt idx="5">
                  <c:v>25</c:v>
                </c:pt>
                <c:pt idx="6">
                  <c:v>28.310000000000002</c:v>
                </c:pt>
                <c:pt idx="7">
                  <c:v>32.28</c:v>
                </c:pt>
                <c:pt idx="8">
                  <c:v>36.97</c:v>
                </c:pt>
                <c:pt idx="9">
                  <c:v>42.44</c:v>
                </c:pt>
                <c:pt idx="10">
                  <c:v>48.75</c:v>
                </c:pt>
                <c:pt idx="11">
                  <c:v>55.96</c:v>
                </c:pt>
                <c:pt idx="12">
                  <c:v>64.13</c:v>
                </c:pt>
                <c:pt idx="13">
                  <c:v>73.319999999999993</c:v>
                </c:pt>
                <c:pt idx="14">
                  <c:v>83.59</c:v>
                </c:pt>
                <c:pt idx="15">
                  <c:v>95</c:v>
                </c:pt>
                <c:pt idx="16">
                  <c:v>107.61</c:v>
                </c:pt>
                <c:pt idx="17">
                  <c:v>121.48</c:v>
                </c:pt>
                <c:pt idx="18">
                  <c:v>136.67000000000002</c:v>
                </c:pt>
                <c:pt idx="19">
                  <c:v>153.24</c:v>
                </c:pt>
                <c:pt idx="20">
                  <c:v>171.25</c:v>
                </c:pt>
                <c:pt idx="21">
                  <c:v>190.76</c:v>
                </c:pt>
                <c:pt idx="22">
                  <c:v>211.83</c:v>
                </c:pt>
                <c:pt idx="23">
                  <c:v>234.52</c:v>
                </c:pt>
                <c:pt idx="24">
                  <c:v>258.89</c:v>
                </c:pt>
                <c:pt idx="25">
                  <c:v>285</c:v>
                </c:pt>
                <c:pt idx="26">
                  <c:v>312.91000000000003</c:v>
                </c:pt>
                <c:pt idx="27">
                  <c:v>342.68</c:v>
                </c:pt>
                <c:pt idx="28">
                  <c:v>374.37</c:v>
                </c:pt>
                <c:pt idx="29">
                  <c:v>408.04</c:v>
                </c:pt>
                <c:pt idx="30">
                  <c:v>443.75</c:v>
                </c:pt>
                <c:pt idx="31">
                  <c:v>481.56</c:v>
                </c:pt>
                <c:pt idx="32">
                  <c:v>521.53</c:v>
                </c:pt>
                <c:pt idx="33">
                  <c:v>563.72</c:v>
                </c:pt>
                <c:pt idx="34">
                  <c:v>608.19000000000005</c:v>
                </c:pt>
                <c:pt idx="35">
                  <c:v>655</c:v>
                </c:pt>
                <c:pt idx="36">
                  <c:v>704.21</c:v>
                </c:pt>
                <c:pt idx="37">
                  <c:v>755.88</c:v>
                </c:pt>
                <c:pt idx="38">
                  <c:v>810.07</c:v>
                </c:pt>
                <c:pt idx="39">
                  <c:v>866.84</c:v>
                </c:pt>
                <c:pt idx="40">
                  <c:v>926.25</c:v>
                </c:pt>
                <c:pt idx="41">
                  <c:v>988.36</c:v>
                </c:pt>
                <c:pt idx="42">
                  <c:v>1053.23</c:v>
                </c:pt>
                <c:pt idx="43">
                  <c:v>1154.4000000000001</c:v>
                </c:pt>
                <c:pt idx="44">
                  <c:v>1217.5</c:v>
                </c:pt>
                <c:pt idx="45">
                  <c:v>1289.5999999999999</c:v>
                </c:pt>
                <c:pt idx="46">
                  <c:v>1371.3</c:v>
                </c:pt>
                <c:pt idx="47">
                  <c:v>1463.2</c:v>
                </c:pt>
                <c:pt idx="48">
                  <c:v>1565.9</c:v>
                </c:pt>
                <c:pt idx="49">
                  <c:v>1680</c:v>
                </c:pt>
                <c:pt idx="50">
                  <c:v>1806.1</c:v>
                </c:pt>
                <c:pt idx="51">
                  <c:v>1944.8</c:v>
                </c:pt>
                <c:pt idx="52">
                  <c:v>2096.6999999999998</c:v>
                </c:pt>
                <c:pt idx="53">
                  <c:v>2262.4</c:v>
                </c:pt>
                <c:pt idx="54">
                  <c:v>2442.5</c:v>
                </c:pt>
                <c:pt idx="55">
                  <c:v>2637.6000000000004</c:v>
                </c:pt>
                <c:pt idx="56">
                  <c:v>2848.3</c:v>
                </c:pt>
                <c:pt idx="57">
                  <c:v>3075.2000000000003</c:v>
                </c:pt>
                <c:pt idx="58">
                  <c:v>3318.9</c:v>
                </c:pt>
                <c:pt idx="59">
                  <c:v>3580</c:v>
                </c:pt>
                <c:pt idx="60">
                  <c:v>3859.1000000000004</c:v>
                </c:pt>
                <c:pt idx="61">
                  <c:v>4156.8</c:v>
                </c:pt>
                <c:pt idx="62">
                  <c:v>4473.7000000000007</c:v>
                </c:pt>
                <c:pt idx="63">
                  <c:v>4810.3999999999996</c:v>
                </c:pt>
                <c:pt idx="64">
                  <c:v>5167.5</c:v>
                </c:pt>
                <c:pt idx="65">
                  <c:v>5545.6</c:v>
                </c:pt>
                <c:pt idx="66">
                  <c:v>5945.3</c:v>
                </c:pt>
                <c:pt idx="67">
                  <c:v>6367.2000000000007</c:v>
                </c:pt>
                <c:pt idx="68">
                  <c:v>6811.9000000000005</c:v>
                </c:pt>
                <c:pt idx="69">
                  <c:v>7280</c:v>
                </c:pt>
                <c:pt idx="70">
                  <c:v>7772.1</c:v>
                </c:pt>
                <c:pt idx="71">
                  <c:v>8288.7999999999993</c:v>
                </c:pt>
                <c:pt idx="72">
                  <c:v>8830.7000000000007</c:v>
                </c:pt>
                <c:pt idx="73">
                  <c:v>9398.4</c:v>
                </c:pt>
                <c:pt idx="74">
                  <c:v>9992.5</c:v>
                </c:pt>
                <c:pt idx="75">
                  <c:v>10613.6</c:v>
                </c:pt>
                <c:pt idx="76">
                  <c:v>11262.300000000001</c:v>
                </c:pt>
                <c:pt idx="77">
                  <c:v>11939.2</c:v>
                </c:pt>
                <c:pt idx="78">
                  <c:v>12644.900000000001</c:v>
                </c:pt>
                <c:pt idx="79">
                  <c:v>13380</c:v>
                </c:pt>
                <c:pt idx="80">
                  <c:v>14145.1</c:v>
                </c:pt>
                <c:pt idx="81">
                  <c:v>14940.800000000001</c:v>
                </c:pt>
                <c:pt idx="82">
                  <c:v>15767.7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23-4E07-B5FB-7C65BD8F3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874464"/>
        <c:axId val="450870528"/>
      </c:scatterChart>
      <c:valAx>
        <c:axId val="450874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0870528"/>
        <c:crosses val="autoZero"/>
        <c:crossBetween val="midCat"/>
      </c:valAx>
      <c:valAx>
        <c:axId val="45087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0874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life!$B$1</c:f>
              <c:strCache>
                <c:ptCount val="1"/>
                <c:pt idx="0">
                  <c:v>life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life!$A$45:$A$80</c:f>
              <c:numCache>
                <c:formatCode>General</c:formatCode>
                <c:ptCount val="36"/>
                <c:pt idx="0">
                  <c:v>44</c:v>
                </c:pt>
                <c:pt idx="1">
                  <c:v>45</c:v>
                </c:pt>
                <c:pt idx="2">
                  <c:v>46</c:v>
                </c:pt>
                <c:pt idx="3">
                  <c:v>47</c:v>
                </c:pt>
                <c:pt idx="4">
                  <c:v>48</c:v>
                </c:pt>
                <c:pt idx="5">
                  <c:v>49</c:v>
                </c:pt>
                <c:pt idx="6">
                  <c:v>50</c:v>
                </c:pt>
                <c:pt idx="7">
                  <c:v>51</c:v>
                </c:pt>
                <c:pt idx="8">
                  <c:v>52</c:v>
                </c:pt>
                <c:pt idx="9">
                  <c:v>53</c:v>
                </c:pt>
                <c:pt idx="10">
                  <c:v>54</c:v>
                </c:pt>
                <c:pt idx="11">
                  <c:v>55</c:v>
                </c:pt>
                <c:pt idx="12">
                  <c:v>56</c:v>
                </c:pt>
                <c:pt idx="13">
                  <c:v>57</c:v>
                </c:pt>
                <c:pt idx="14">
                  <c:v>58</c:v>
                </c:pt>
                <c:pt idx="15">
                  <c:v>59</c:v>
                </c:pt>
                <c:pt idx="16">
                  <c:v>60</c:v>
                </c:pt>
                <c:pt idx="17">
                  <c:v>61</c:v>
                </c:pt>
                <c:pt idx="18">
                  <c:v>62</c:v>
                </c:pt>
                <c:pt idx="19">
                  <c:v>63</c:v>
                </c:pt>
                <c:pt idx="20">
                  <c:v>64</c:v>
                </c:pt>
                <c:pt idx="21">
                  <c:v>65</c:v>
                </c:pt>
                <c:pt idx="22">
                  <c:v>66</c:v>
                </c:pt>
                <c:pt idx="23">
                  <c:v>67</c:v>
                </c:pt>
                <c:pt idx="24">
                  <c:v>68</c:v>
                </c:pt>
                <c:pt idx="25">
                  <c:v>69</c:v>
                </c:pt>
                <c:pt idx="26">
                  <c:v>70</c:v>
                </c:pt>
                <c:pt idx="27">
                  <c:v>71</c:v>
                </c:pt>
                <c:pt idx="28">
                  <c:v>72</c:v>
                </c:pt>
                <c:pt idx="29">
                  <c:v>73</c:v>
                </c:pt>
                <c:pt idx="30">
                  <c:v>74</c:v>
                </c:pt>
                <c:pt idx="31">
                  <c:v>75</c:v>
                </c:pt>
                <c:pt idx="32">
                  <c:v>76</c:v>
                </c:pt>
                <c:pt idx="33">
                  <c:v>77</c:v>
                </c:pt>
                <c:pt idx="34">
                  <c:v>78</c:v>
                </c:pt>
                <c:pt idx="35">
                  <c:v>79</c:v>
                </c:pt>
              </c:numCache>
            </c:numRef>
          </c:xVal>
          <c:yVal>
            <c:numRef>
              <c:f>life!$B$45:$B$80</c:f>
              <c:numCache>
                <c:formatCode>General</c:formatCode>
                <c:ptCount val="36"/>
                <c:pt idx="0">
                  <c:v>1135</c:v>
                </c:pt>
                <c:pt idx="1">
                  <c:v>1221</c:v>
                </c:pt>
                <c:pt idx="2">
                  <c:v>1303</c:v>
                </c:pt>
                <c:pt idx="3">
                  <c:v>1411</c:v>
                </c:pt>
                <c:pt idx="4">
                  <c:v>1516</c:v>
                </c:pt>
                <c:pt idx="5">
                  <c:v>1629</c:v>
                </c:pt>
                <c:pt idx="6">
                  <c:v>1749</c:v>
                </c:pt>
                <c:pt idx="7">
                  <c:v>1878</c:v>
                </c:pt>
                <c:pt idx="8">
                  <c:v>2015</c:v>
                </c:pt>
                <c:pt idx="9">
                  <c:v>2162</c:v>
                </c:pt>
                <c:pt idx="10">
                  <c:v>2319</c:v>
                </c:pt>
                <c:pt idx="11">
                  <c:v>2486</c:v>
                </c:pt>
                <c:pt idx="12">
                  <c:v>2665</c:v>
                </c:pt>
                <c:pt idx="13">
                  <c:v>2857</c:v>
                </c:pt>
                <c:pt idx="14">
                  <c:v>3061</c:v>
                </c:pt>
                <c:pt idx="15">
                  <c:v>3279</c:v>
                </c:pt>
                <c:pt idx="16">
                  <c:v>3512</c:v>
                </c:pt>
                <c:pt idx="17">
                  <c:v>3760</c:v>
                </c:pt>
                <c:pt idx="18">
                  <c:v>4025</c:v>
                </c:pt>
                <c:pt idx="19">
                  <c:v>4308</c:v>
                </c:pt>
                <c:pt idx="20">
                  <c:v>4610</c:v>
                </c:pt>
                <c:pt idx="21">
                  <c:v>4932</c:v>
                </c:pt>
                <c:pt idx="22">
                  <c:v>5276</c:v>
                </c:pt>
                <c:pt idx="23">
                  <c:v>5642</c:v>
                </c:pt>
                <c:pt idx="24">
                  <c:v>6033</c:v>
                </c:pt>
                <c:pt idx="25">
                  <c:v>6449</c:v>
                </c:pt>
                <c:pt idx="26">
                  <c:v>6894</c:v>
                </c:pt>
                <c:pt idx="27">
                  <c:v>7367</c:v>
                </c:pt>
                <c:pt idx="28">
                  <c:v>7872</c:v>
                </c:pt>
                <c:pt idx="29">
                  <c:v>8410</c:v>
                </c:pt>
                <c:pt idx="30">
                  <c:v>8984</c:v>
                </c:pt>
                <c:pt idx="31">
                  <c:v>9595</c:v>
                </c:pt>
                <c:pt idx="32">
                  <c:v>10246</c:v>
                </c:pt>
                <c:pt idx="33">
                  <c:v>10940</c:v>
                </c:pt>
                <c:pt idx="34">
                  <c:v>11679</c:v>
                </c:pt>
                <c:pt idx="35">
                  <c:v>12466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77-4732-B5F0-09B7A5A25AB6}"/>
            </c:ext>
          </c:extLst>
        </c:ser>
        <c:ser>
          <c:idx val="1"/>
          <c:order val="1"/>
          <c:tx>
            <c:strRef>
              <c:f>life!$C$1</c:f>
              <c:strCache>
                <c:ptCount val="1"/>
                <c:pt idx="0">
                  <c:v>近似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life!$A$45:$A$80</c:f>
              <c:numCache>
                <c:formatCode>General</c:formatCode>
                <c:ptCount val="36"/>
                <c:pt idx="0">
                  <c:v>44</c:v>
                </c:pt>
                <c:pt idx="1">
                  <c:v>45</c:v>
                </c:pt>
                <c:pt idx="2">
                  <c:v>46</c:v>
                </c:pt>
                <c:pt idx="3">
                  <c:v>47</c:v>
                </c:pt>
                <c:pt idx="4">
                  <c:v>48</c:v>
                </c:pt>
                <c:pt idx="5">
                  <c:v>49</c:v>
                </c:pt>
                <c:pt idx="6">
                  <c:v>50</c:v>
                </c:pt>
                <c:pt idx="7">
                  <c:v>51</c:v>
                </c:pt>
                <c:pt idx="8">
                  <c:v>52</c:v>
                </c:pt>
                <c:pt idx="9">
                  <c:v>53</c:v>
                </c:pt>
                <c:pt idx="10">
                  <c:v>54</c:v>
                </c:pt>
                <c:pt idx="11">
                  <c:v>55</c:v>
                </c:pt>
                <c:pt idx="12">
                  <c:v>56</c:v>
                </c:pt>
                <c:pt idx="13">
                  <c:v>57</c:v>
                </c:pt>
                <c:pt idx="14">
                  <c:v>58</c:v>
                </c:pt>
                <c:pt idx="15">
                  <c:v>59</c:v>
                </c:pt>
                <c:pt idx="16">
                  <c:v>60</c:v>
                </c:pt>
                <c:pt idx="17">
                  <c:v>61</c:v>
                </c:pt>
                <c:pt idx="18">
                  <c:v>62</c:v>
                </c:pt>
                <c:pt idx="19">
                  <c:v>63</c:v>
                </c:pt>
                <c:pt idx="20">
                  <c:v>64</c:v>
                </c:pt>
                <c:pt idx="21">
                  <c:v>65</c:v>
                </c:pt>
                <c:pt idx="22">
                  <c:v>66</c:v>
                </c:pt>
                <c:pt idx="23">
                  <c:v>67</c:v>
                </c:pt>
                <c:pt idx="24">
                  <c:v>68</c:v>
                </c:pt>
                <c:pt idx="25">
                  <c:v>69</c:v>
                </c:pt>
                <c:pt idx="26">
                  <c:v>70</c:v>
                </c:pt>
                <c:pt idx="27">
                  <c:v>71</c:v>
                </c:pt>
                <c:pt idx="28">
                  <c:v>72</c:v>
                </c:pt>
                <c:pt idx="29">
                  <c:v>73</c:v>
                </c:pt>
                <c:pt idx="30">
                  <c:v>74</c:v>
                </c:pt>
                <c:pt idx="31">
                  <c:v>75</c:v>
                </c:pt>
                <c:pt idx="32">
                  <c:v>76</c:v>
                </c:pt>
                <c:pt idx="33">
                  <c:v>77</c:v>
                </c:pt>
                <c:pt idx="34">
                  <c:v>78</c:v>
                </c:pt>
                <c:pt idx="35">
                  <c:v>79</c:v>
                </c:pt>
              </c:numCache>
            </c:numRef>
          </c:xVal>
          <c:yVal>
            <c:numRef>
              <c:f>life!$C$45:$C$80</c:f>
              <c:numCache>
                <c:formatCode>General</c:formatCode>
                <c:ptCount val="36"/>
                <c:pt idx="0">
                  <c:v>1154.4000000000001</c:v>
                </c:pt>
                <c:pt idx="1">
                  <c:v>1217.5</c:v>
                </c:pt>
                <c:pt idx="2">
                  <c:v>1289.5999999999999</c:v>
                </c:pt>
                <c:pt idx="3">
                  <c:v>1371.3</c:v>
                </c:pt>
                <c:pt idx="4">
                  <c:v>1463.2</c:v>
                </c:pt>
                <c:pt idx="5">
                  <c:v>1565.9</c:v>
                </c:pt>
                <c:pt idx="6">
                  <c:v>1680</c:v>
                </c:pt>
                <c:pt idx="7">
                  <c:v>1806.1</c:v>
                </c:pt>
                <c:pt idx="8">
                  <c:v>1944.8</c:v>
                </c:pt>
                <c:pt idx="9">
                  <c:v>2096.6999999999998</c:v>
                </c:pt>
                <c:pt idx="10">
                  <c:v>2262.4</c:v>
                </c:pt>
                <c:pt idx="11">
                  <c:v>2442.5</c:v>
                </c:pt>
                <c:pt idx="12">
                  <c:v>2637.6000000000004</c:v>
                </c:pt>
                <c:pt idx="13">
                  <c:v>2848.3</c:v>
                </c:pt>
                <c:pt idx="14">
                  <c:v>3075.2000000000003</c:v>
                </c:pt>
                <c:pt idx="15">
                  <c:v>3318.9</c:v>
                </c:pt>
                <c:pt idx="16">
                  <c:v>3580</c:v>
                </c:pt>
                <c:pt idx="17">
                  <c:v>3859.1000000000004</c:v>
                </c:pt>
                <c:pt idx="18">
                  <c:v>4156.8</c:v>
                </c:pt>
                <c:pt idx="19">
                  <c:v>4473.7000000000007</c:v>
                </c:pt>
                <c:pt idx="20">
                  <c:v>4810.3999999999996</c:v>
                </c:pt>
                <c:pt idx="21">
                  <c:v>5167.5</c:v>
                </c:pt>
                <c:pt idx="22">
                  <c:v>5545.6</c:v>
                </c:pt>
                <c:pt idx="23">
                  <c:v>5945.3</c:v>
                </c:pt>
                <c:pt idx="24">
                  <c:v>6367.2000000000007</c:v>
                </c:pt>
                <c:pt idx="25">
                  <c:v>6811.9000000000005</c:v>
                </c:pt>
                <c:pt idx="26">
                  <c:v>7280</c:v>
                </c:pt>
                <c:pt idx="27">
                  <c:v>7772.1</c:v>
                </c:pt>
                <c:pt idx="28">
                  <c:v>8288.7999999999993</c:v>
                </c:pt>
                <c:pt idx="29">
                  <c:v>8830.7000000000007</c:v>
                </c:pt>
                <c:pt idx="30">
                  <c:v>9398.4</c:v>
                </c:pt>
                <c:pt idx="31">
                  <c:v>9992.5</c:v>
                </c:pt>
                <c:pt idx="32">
                  <c:v>10613.6</c:v>
                </c:pt>
                <c:pt idx="33">
                  <c:v>11262.300000000001</c:v>
                </c:pt>
                <c:pt idx="34">
                  <c:v>11939.2</c:v>
                </c:pt>
                <c:pt idx="35">
                  <c:v>12644.900000000001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77-4732-B5F0-09B7A5A25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829408"/>
        <c:axId val="539824816"/>
      </c:scatterChart>
      <c:valAx>
        <c:axId val="539829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9824816"/>
        <c:crosses val="autoZero"/>
        <c:crossBetween val="midCat"/>
      </c:valAx>
      <c:valAx>
        <c:axId val="53982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9829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damage!$B$1</c:f>
              <c:strCache>
                <c:ptCount val="1"/>
                <c:pt idx="0">
                  <c:v>damage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7.850393700787401E-3"/>
                  <c:y val="2.2969524642752989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damage!$A$2:$A$101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damage!$B$2:$B$101</c:f>
              <c:numCache>
                <c:formatCode>General</c:formatCode>
                <c:ptCount val="100"/>
                <c:pt idx="0">
                  <c:v>5</c:v>
                </c:pt>
                <c:pt idx="1">
                  <c:v>6</c:v>
                </c:pt>
                <c:pt idx="2">
                  <c:v>6</c:v>
                </c:pt>
                <c:pt idx="3">
                  <c:v>7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20</c:v>
                </c:pt>
                <c:pt idx="17">
                  <c:v>21</c:v>
                </c:pt>
                <c:pt idx="18">
                  <c:v>23</c:v>
                </c:pt>
                <c:pt idx="19">
                  <c:v>24</c:v>
                </c:pt>
                <c:pt idx="20">
                  <c:v>26</c:v>
                </c:pt>
                <c:pt idx="21">
                  <c:v>28</c:v>
                </c:pt>
                <c:pt idx="22">
                  <c:v>30</c:v>
                </c:pt>
                <c:pt idx="23">
                  <c:v>32</c:v>
                </c:pt>
                <c:pt idx="24">
                  <c:v>34</c:v>
                </c:pt>
                <c:pt idx="25">
                  <c:v>36</c:v>
                </c:pt>
                <c:pt idx="26">
                  <c:v>39</c:v>
                </c:pt>
                <c:pt idx="27">
                  <c:v>41</c:v>
                </c:pt>
                <c:pt idx="28">
                  <c:v>44</c:v>
                </c:pt>
                <c:pt idx="29">
                  <c:v>47</c:v>
                </c:pt>
                <c:pt idx="30">
                  <c:v>50</c:v>
                </c:pt>
                <c:pt idx="31">
                  <c:v>53</c:v>
                </c:pt>
                <c:pt idx="32">
                  <c:v>56</c:v>
                </c:pt>
                <c:pt idx="33">
                  <c:v>59</c:v>
                </c:pt>
                <c:pt idx="34">
                  <c:v>63</c:v>
                </c:pt>
                <c:pt idx="35">
                  <c:v>67</c:v>
                </c:pt>
                <c:pt idx="36">
                  <c:v>71</c:v>
                </c:pt>
                <c:pt idx="37">
                  <c:v>75</c:v>
                </c:pt>
                <c:pt idx="38">
                  <c:v>80</c:v>
                </c:pt>
                <c:pt idx="39">
                  <c:v>84</c:v>
                </c:pt>
                <c:pt idx="40">
                  <c:v>89</c:v>
                </c:pt>
                <c:pt idx="41">
                  <c:v>94</c:v>
                </c:pt>
                <c:pt idx="42">
                  <c:v>100</c:v>
                </c:pt>
                <c:pt idx="43">
                  <c:v>106</c:v>
                </c:pt>
                <c:pt idx="44">
                  <c:v>112</c:v>
                </c:pt>
                <c:pt idx="45">
                  <c:v>118</c:v>
                </c:pt>
                <c:pt idx="46">
                  <c:v>125</c:v>
                </c:pt>
                <c:pt idx="47">
                  <c:v>131</c:v>
                </c:pt>
                <c:pt idx="48">
                  <c:v>139</c:v>
                </c:pt>
                <c:pt idx="49">
                  <c:v>147</c:v>
                </c:pt>
                <c:pt idx="50">
                  <c:v>155</c:v>
                </c:pt>
                <c:pt idx="51">
                  <c:v>163</c:v>
                </c:pt>
                <c:pt idx="52">
                  <c:v>172</c:v>
                </c:pt>
                <c:pt idx="53">
                  <c:v>181</c:v>
                </c:pt>
                <c:pt idx="54">
                  <c:v>191</c:v>
                </c:pt>
                <c:pt idx="55">
                  <c:v>202</c:v>
                </c:pt>
                <c:pt idx="56">
                  <c:v>212</c:v>
                </c:pt>
                <c:pt idx="57">
                  <c:v>224</c:v>
                </c:pt>
                <c:pt idx="58">
                  <c:v>236</c:v>
                </c:pt>
                <c:pt idx="59">
                  <c:v>248</c:v>
                </c:pt>
                <c:pt idx="60">
                  <c:v>262</c:v>
                </c:pt>
                <c:pt idx="61">
                  <c:v>275</c:v>
                </c:pt>
                <c:pt idx="62">
                  <c:v>290</c:v>
                </c:pt>
                <c:pt idx="63">
                  <c:v>305</c:v>
                </c:pt>
                <c:pt idx="64">
                  <c:v>321</c:v>
                </c:pt>
                <c:pt idx="65">
                  <c:v>338</c:v>
                </c:pt>
                <c:pt idx="66">
                  <c:v>355</c:v>
                </c:pt>
                <c:pt idx="67">
                  <c:v>374</c:v>
                </c:pt>
                <c:pt idx="68">
                  <c:v>393</c:v>
                </c:pt>
                <c:pt idx="69">
                  <c:v>413</c:v>
                </c:pt>
                <c:pt idx="70">
                  <c:v>434</c:v>
                </c:pt>
                <c:pt idx="71">
                  <c:v>456</c:v>
                </c:pt>
                <c:pt idx="72">
                  <c:v>480</c:v>
                </c:pt>
                <c:pt idx="73">
                  <c:v>504</c:v>
                </c:pt>
                <c:pt idx="74">
                  <c:v>530</c:v>
                </c:pt>
                <c:pt idx="75">
                  <c:v>556</c:v>
                </c:pt>
                <c:pt idx="76">
                  <c:v>584</c:v>
                </c:pt>
                <c:pt idx="77">
                  <c:v>614</c:v>
                </c:pt>
                <c:pt idx="78">
                  <c:v>645</c:v>
                </c:pt>
                <c:pt idx="79">
                  <c:v>677</c:v>
                </c:pt>
                <c:pt idx="80">
                  <c:v>711</c:v>
                </c:pt>
                <c:pt idx="81">
                  <c:v>746</c:v>
                </c:pt>
                <c:pt idx="82">
                  <c:v>783</c:v>
                </c:pt>
                <c:pt idx="83">
                  <c:v>822</c:v>
                </c:pt>
                <c:pt idx="84">
                  <c:v>862</c:v>
                </c:pt>
                <c:pt idx="85">
                  <c:v>905</c:v>
                </c:pt>
                <c:pt idx="86">
                  <c:v>949</c:v>
                </c:pt>
                <c:pt idx="87">
                  <c:v>996</c:v>
                </c:pt>
                <c:pt idx="88">
                  <c:v>1045</c:v>
                </c:pt>
                <c:pt idx="89">
                  <c:v>1096</c:v>
                </c:pt>
                <c:pt idx="90">
                  <c:v>1149</c:v>
                </c:pt>
                <c:pt idx="91">
                  <c:v>1205</c:v>
                </c:pt>
                <c:pt idx="92">
                  <c:v>1264</c:v>
                </c:pt>
                <c:pt idx="93">
                  <c:v>1325</c:v>
                </c:pt>
                <c:pt idx="94">
                  <c:v>1390</c:v>
                </c:pt>
                <c:pt idx="95">
                  <c:v>1457</c:v>
                </c:pt>
                <c:pt idx="96">
                  <c:v>1527</c:v>
                </c:pt>
                <c:pt idx="97">
                  <c:v>1601</c:v>
                </c:pt>
                <c:pt idx="98">
                  <c:v>1678</c:v>
                </c:pt>
                <c:pt idx="99">
                  <c:v>1758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E4-4D38-A29F-42E978C8CC89}"/>
            </c:ext>
          </c:extLst>
        </c:ser>
        <c:ser>
          <c:idx val="1"/>
          <c:order val="1"/>
          <c:tx>
            <c:strRef>
              <c:f>damage!$C$1</c:f>
              <c:strCache>
                <c:ptCount val="1"/>
                <c:pt idx="0">
                  <c:v>近似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damage!$A$2:$A$101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damage!$C$2:$C$101</c:f>
              <c:numCache>
                <c:formatCode>General</c:formatCode>
                <c:ptCount val="100"/>
                <c:pt idx="0">
                  <c:v>5</c:v>
                </c:pt>
                <c:pt idx="1">
                  <c:v>5.4399999999999995</c:v>
                </c:pt>
                <c:pt idx="2">
                  <c:v>5.96</c:v>
                </c:pt>
                <c:pt idx="3">
                  <c:v>6.5600000000000005</c:v>
                </c:pt>
                <c:pt idx="4">
                  <c:v>7.24</c:v>
                </c:pt>
                <c:pt idx="5">
                  <c:v>8</c:v>
                </c:pt>
                <c:pt idx="6">
                  <c:v>8.84</c:v>
                </c:pt>
                <c:pt idx="7">
                  <c:v>9.76</c:v>
                </c:pt>
                <c:pt idx="8">
                  <c:v>10.76</c:v>
                </c:pt>
                <c:pt idx="9">
                  <c:v>11.84</c:v>
                </c:pt>
                <c:pt idx="10">
                  <c:v>13</c:v>
                </c:pt>
                <c:pt idx="11">
                  <c:v>14.24</c:v>
                </c:pt>
                <c:pt idx="12">
                  <c:v>15.56</c:v>
                </c:pt>
                <c:pt idx="13">
                  <c:v>16.96</c:v>
                </c:pt>
                <c:pt idx="14">
                  <c:v>18.439999999999998</c:v>
                </c:pt>
                <c:pt idx="15">
                  <c:v>20</c:v>
                </c:pt>
                <c:pt idx="16">
                  <c:v>21.64</c:v>
                </c:pt>
                <c:pt idx="17">
                  <c:v>23.36</c:v>
                </c:pt>
                <c:pt idx="18">
                  <c:v>25.16</c:v>
                </c:pt>
                <c:pt idx="19">
                  <c:v>27.04</c:v>
                </c:pt>
                <c:pt idx="20">
                  <c:v>29</c:v>
                </c:pt>
                <c:pt idx="21">
                  <c:v>31.04</c:v>
                </c:pt>
                <c:pt idx="22">
                  <c:v>33.159999999999997</c:v>
                </c:pt>
                <c:pt idx="23">
                  <c:v>35.36</c:v>
                </c:pt>
                <c:pt idx="24">
                  <c:v>37.64</c:v>
                </c:pt>
                <c:pt idx="25">
                  <c:v>40</c:v>
                </c:pt>
                <c:pt idx="26">
                  <c:v>42.44</c:v>
                </c:pt>
                <c:pt idx="27">
                  <c:v>44.96</c:v>
                </c:pt>
                <c:pt idx="28">
                  <c:v>47.56</c:v>
                </c:pt>
                <c:pt idx="29">
                  <c:v>50.24</c:v>
                </c:pt>
                <c:pt idx="30">
                  <c:v>53</c:v>
                </c:pt>
                <c:pt idx="31">
                  <c:v>55.84</c:v>
                </c:pt>
                <c:pt idx="32">
                  <c:v>58.76</c:v>
                </c:pt>
                <c:pt idx="33">
                  <c:v>61.76</c:v>
                </c:pt>
                <c:pt idx="34">
                  <c:v>64.84</c:v>
                </c:pt>
                <c:pt idx="35">
                  <c:v>68</c:v>
                </c:pt>
                <c:pt idx="36">
                  <c:v>71.239999999999995</c:v>
                </c:pt>
                <c:pt idx="37">
                  <c:v>74.56</c:v>
                </c:pt>
                <c:pt idx="38">
                  <c:v>77.25</c:v>
                </c:pt>
                <c:pt idx="39">
                  <c:v>81</c:v>
                </c:pt>
                <c:pt idx="40">
                  <c:v>85.25</c:v>
                </c:pt>
                <c:pt idx="41">
                  <c:v>90</c:v>
                </c:pt>
                <c:pt idx="42">
                  <c:v>95.25</c:v>
                </c:pt>
                <c:pt idx="43">
                  <c:v>101</c:v>
                </c:pt>
                <c:pt idx="44">
                  <c:v>107.25</c:v>
                </c:pt>
                <c:pt idx="45">
                  <c:v>114</c:v>
                </c:pt>
                <c:pt idx="46">
                  <c:v>121.25</c:v>
                </c:pt>
                <c:pt idx="47">
                  <c:v>129</c:v>
                </c:pt>
                <c:pt idx="48">
                  <c:v>137.25</c:v>
                </c:pt>
                <c:pt idx="49">
                  <c:v>146</c:v>
                </c:pt>
                <c:pt idx="50">
                  <c:v>155.25</c:v>
                </c:pt>
                <c:pt idx="51">
                  <c:v>165</c:v>
                </c:pt>
                <c:pt idx="52">
                  <c:v>175.25</c:v>
                </c:pt>
                <c:pt idx="53">
                  <c:v>186</c:v>
                </c:pt>
                <c:pt idx="54">
                  <c:v>197.25</c:v>
                </c:pt>
                <c:pt idx="55">
                  <c:v>209</c:v>
                </c:pt>
                <c:pt idx="56">
                  <c:v>221.25</c:v>
                </c:pt>
                <c:pt idx="57">
                  <c:v>234</c:v>
                </c:pt>
                <c:pt idx="58">
                  <c:v>247.25</c:v>
                </c:pt>
                <c:pt idx="59">
                  <c:v>261</c:v>
                </c:pt>
                <c:pt idx="60">
                  <c:v>275.25</c:v>
                </c:pt>
                <c:pt idx="61">
                  <c:v>290</c:v>
                </c:pt>
                <c:pt idx="62">
                  <c:v>305.25</c:v>
                </c:pt>
                <c:pt idx="63">
                  <c:v>321</c:v>
                </c:pt>
                <c:pt idx="64">
                  <c:v>337.25</c:v>
                </c:pt>
                <c:pt idx="65">
                  <c:v>354</c:v>
                </c:pt>
                <c:pt idx="66">
                  <c:v>371.25</c:v>
                </c:pt>
                <c:pt idx="67">
                  <c:v>389</c:v>
                </c:pt>
                <c:pt idx="68">
                  <c:v>407.25</c:v>
                </c:pt>
                <c:pt idx="69">
                  <c:v>426</c:v>
                </c:pt>
                <c:pt idx="70">
                  <c:v>445.25</c:v>
                </c:pt>
                <c:pt idx="71">
                  <c:v>465</c:v>
                </c:pt>
                <c:pt idx="72">
                  <c:v>485.25</c:v>
                </c:pt>
                <c:pt idx="73">
                  <c:v>506</c:v>
                </c:pt>
                <c:pt idx="74">
                  <c:v>527.25</c:v>
                </c:pt>
                <c:pt idx="75">
                  <c:v>549</c:v>
                </c:pt>
                <c:pt idx="76">
                  <c:v>571.25</c:v>
                </c:pt>
                <c:pt idx="77">
                  <c:v>594</c:v>
                </c:pt>
                <c:pt idx="78">
                  <c:v>617.25</c:v>
                </c:pt>
                <c:pt idx="79">
                  <c:v>641</c:v>
                </c:pt>
                <c:pt idx="80">
                  <c:v>665.25</c:v>
                </c:pt>
                <c:pt idx="81">
                  <c:v>690</c:v>
                </c:pt>
                <c:pt idx="82">
                  <c:v>715.25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E4-4D38-A29F-42E978C8C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874464"/>
        <c:axId val="450870528"/>
      </c:scatterChart>
      <c:valAx>
        <c:axId val="450874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0870528"/>
        <c:crosses val="autoZero"/>
        <c:crossBetween val="midCat"/>
      </c:valAx>
      <c:valAx>
        <c:axId val="45087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0874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damage!$B$1</c:f>
              <c:strCache>
                <c:ptCount val="1"/>
                <c:pt idx="0">
                  <c:v>damage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damage!$A$40:$A$80</c:f>
              <c:numCache>
                <c:formatCode>General</c:formatCode>
                <c:ptCount val="41"/>
                <c:pt idx="0">
                  <c:v>39</c:v>
                </c:pt>
                <c:pt idx="1">
                  <c:v>40</c:v>
                </c:pt>
                <c:pt idx="2">
                  <c:v>41</c:v>
                </c:pt>
                <c:pt idx="3">
                  <c:v>42</c:v>
                </c:pt>
                <c:pt idx="4">
                  <c:v>43</c:v>
                </c:pt>
                <c:pt idx="5">
                  <c:v>44</c:v>
                </c:pt>
                <c:pt idx="6">
                  <c:v>45</c:v>
                </c:pt>
                <c:pt idx="7">
                  <c:v>46</c:v>
                </c:pt>
                <c:pt idx="8">
                  <c:v>47</c:v>
                </c:pt>
                <c:pt idx="9">
                  <c:v>48</c:v>
                </c:pt>
                <c:pt idx="10">
                  <c:v>49</c:v>
                </c:pt>
                <c:pt idx="11">
                  <c:v>50</c:v>
                </c:pt>
                <c:pt idx="12">
                  <c:v>51</c:v>
                </c:pt>
                <c:pt idx="13">
                  <c:v>52</c:v>
                </c:pt>
                <c:pt idx="14">
                  <c:v>53</c:v>
                </c:pt>
                <c:pt idx="15">
                  <c:v>54</c:v>
                </c:pt>
                <c:pt idx="16">
                  <c:v>55</c:v>
                </c:pt>
                <c:pt idx="17">
                  <c:v>56</c:v>
                </c:pt>
                <c:pt idx="18">
                  <c:v>57</c:v>
                </c:pt>
                <c:pt idx="19">
                  <c:v>58</c:v>
                </c:pt>
                <c:pt idx="20">
                  <c:v>59</c:v>
                </c:pt>
                <c:pt idx="21">
                  <c:v>60</c:v>
                </c:pt>
                <c:pt idx="22">
                  <c:v>61</c:v>
                </c:pt>
                <c:pt idx="23">
                  <c:v>62</c:v>
                </c:pt>
                <c:pt idx="24">
                  <c:v>63</c:v>
                </c:pt>
                <c:pt idx="25">
                  <c:v>64</c:v>
                </c:pt>
                <c:pt idx="26">
                  <c:v>65</c:v>
                </c:pt>
                <c:pt idx="27">
                  <c:v>66</c:v>
                </c:pt>
                <c:pt idx="28">
                  <c:v>67</c:v>
                </c:pt>
                <c:pt idx="29">
                  <c:v>68</c:v>
                </c:pt>
                <c:pt idx="30">
                  <c:v>69</c:v>
                </c:pt>
                <c:pt idx="31">
                  <c:v>70</c:v>
                </c:pt>
                <c:pt idx="32">
                  <c:v>71</c:v>
                </c:pt>
                <c:pt idx="33">
                  <c:v>72</c:v>
                </c:pt>
                <c:pt idx="34">
                  <c:v>73</c:v>
                </c:pt>
                <c:pt idx="35">
                  <c:v>74</c:v>
                </c:pt>
                <c:pt idx="36">
                  <c:v>75</c:v>
                </c:pt>
                <c:pt idx="37">
                  <c:v>76</c:v>
                </c:pt>
                <c:pt idx="38">
                  <c:v>77</c:v>
                </c:pt>
                <c:pt idx="39">
                  <c:v>78</c:v>
                </c:pt>
                <c:pt idx="40">
                  <c:v>79</c:v>
                </c:pt>
              </c:numCache>
            </c:numRef>
          </c:xVal>
          <c:yVal>
            <c:numRef>
              <c:f>damage!$B$40:$B$80</c:f>
              <c:numCache>
                <c:formatCode>General</c:formatCode>
                <c:ptCount val="41"/>
                <c:pt idx="0">
                  <c:v>80</c:v>
                </c:pt>
                <c:pt idx="1">
                  <c:v>84</c:v>
                </c:pt>
                <c:pt idx="2">
                  <c:v>89</c:v>
                </c:pt>
                <c:pt idx="3">
                  <c:v>94</c:v>
                </c:pt>
                <c:pt idx="4">
                  <c:v>100</c:v>
                </c:pt>
                <c:pt idx="5">
                  <c:v>106</c:v>
                </c:pt>
                <c:pt idx="6">
                  <c:v>112</c:v>
                </c:pt>
                <c:pt idx="7">
                  <c:v>118</c:v>
                </c:pt>
                <c:pt idx="8">
                  <c:v>125</c:v>
                </c:pt>
                <c:pt idx="9">
                  <c:v>131</c:v>
                </c:pt>
                <c:pt idx="10">
                  <c:v>139</c:v>
                </c:pt>
                <c:pt idx="11">
                  <c:v>147</c:v>
                </c:pt>
                <c:pt idx="12">
                  <c:v>155</c:v>
                </c:pt>
                <c:pt idx="13">
                  <c:v>163</c:v>
                </c:pt>
                <c:pt idx="14">
                  <c:v>172</c:v>
                </c:pt>
                <c:pt idx="15">
                  <c:v>181</c:v>
                </c:pt>
                <c:pt idx="16">
                  <c:v>191</c:v>
                </c:pt>
                <c:pt idx="17">
                  <c:v>202</c:v>
                </c:pt>
                <c:pt idx="18">
                  <c:v>212</c:v>
                </c:pt>
                <c:pt idx="19">
                  <c:v>224</c:v>
                </c:pt>
                <c:pt idx="20">
                  <c:v>236</c:v>
                </c:pt>
                <c:pt idx="21">
                  <c:v>248</c:v>
                </c:pt>
                <c:pt idx="22">
                  <c:v>262</c:v>
                </c:pt>
                <c:pt idx="23">
                  <c:v>275</c:v>
                </c:pt>
                <c:pt idx="24">
                  <c:v>290</c:v>
                </c:pt>
                <c:pt idx="25">
                  <c:v>305</c:v>
                </c:pt>
                <c:pt idx="26">
                  <c:v>321</c:v>
                </c:pt>
                <c:pt idx="27">
                  <c:v>338</c:v>
                </c:pt>
                <c:pt idx="28">
                  <c:v>355</c:v>
                </c:pt>
                <c:pt idx="29">
                  <c:v>374</c:v>
                </c:pt>
                <c:pt idx="30">
                  <c:v>393</c:v>
                </c:pt>
                <c:pt idx="31">
                  <c:v>413</c:v>
                </c:pt>
                <c:pt idx="32">
                  <c:v>434</c:v>
                </c:pt>
                <c:pt idx="33">
                  <c:v>456</c:v>
                </c:pt>
                <c:pt idx="34">
                  <c:v>480</c:v>
                </c:pt>
                <c:pt idx="35">
                  <c:v>504</c:v>
                </c:pt>
                <c:pt idx="36">
                  <c:v>530</c:v>
                </c:pt>
                <c:pt idx="37">
                  <c:v>556</c:v>
                </c:pt>
                <c:pt idx="38">
                  <c:v>584</c:v>
                </c:pt>
                <c:pt idx="39">
                  <c:v>614</c:v>
                </c:pt>
                <c:pt idx="40">
                  <c:v>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70-4352-A4FB-ADF482FBE4BA}"/>
            </c:ext>
          </c:extLst>
        </c:ser>
        <c:ser>
          <c:idx val="1"/>
          <c:order val="1"/>
          <c:tx>
            <c:strRef>
              <c:f>damage!$C$1</c:f>
              <c:strCache>
                <c:ptCount val="1"/>
                <c:pt idx="0">
                  <c:v>近似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damage!$A$40:$A$80</c:f>
              <c:numCache>
                <c:formatCode>General</c:formatCode>
                <c:ptCount val="41"/>
                <c:pt idx="0">
                  <c:v>39</c:v>
                </c:pt>
                <c:pt idx="1">
                  <c:v>40</c:v>
                </c:pt>
                <c:pt idx="2">
                  <c:v>41</c:v>
                </c:pt>
                <c:pt idx="3">
                  <c:v>42</c:v>
                </c:pt>
                <c:pt idx="4">
                  <c:v>43</c:v>
                </c:pt>
                <c:pt idx="5">
                  <c:v>44</c:v>
                </c:pt>
                <c:pt idx="6">
                  <c:v>45</c:v>
                </c:pt>
                <c:pt idx="7">
                  <c:v>46</c:v>
                </c:pt>
                <c:pt idx="8">
                  <c:v>47</c:v>
                </c:pt>
                <c:pt idx="9">
                  <c:v>48</c:v>
                </c:pt>
                <c:pt idx="10">
                  <c:v>49</c:v>
                </c:pt>
                <c:pt idx="11">
                  <c:v>50</c:v>
                </c:pt>
                <c:pt idx="12">
                  <c:v>51</c:v>
                </c:pt>
                <c:pt idx="13">
                  <c:v>52</c:v>
                </c:pt>
                <c:pt idx="14">
                  <c:v>53</c:v>
                </c:pt>
                <c:pt idx="15">
                  <c:v>54</c:v>
                </c:pt>
                <c:pt idx="16">
                  <c:v>55</c:v>
                </c:pt>
                <c:pt idx="17">
                  <c:v>56</c:v>
                </c:pt>
                <c:pt idx="18">
                  <c:v>57</c:v>
                </c:pt>
                <c:pt idx="19">
                  <c:v>58</c:v>
                </c:pt>
                <c:pt idx="20">
                  <c:v>59</c:v>
                </c:pt>
                <c:pt idx="21">
                  <c:v>60</c:v>
                </c:pt>
                <c:pt idx="22">
                  <c:v>61</c:v>
                </c:pt>
                <c:pt idx="23">
                  <c:v>62</c:v>
                </c:pt>
                <c:pt idx="24">
                  <c:v>63</c:v>
                </c:pt>
                <c:pt idx="25">
                  <c:v>64</c:v>
                </c:pt>
                <c:pt idx="26">
                  <c:v>65</c:v>
                </c:pt>
                <c:pt idx="27">
                  <c:v>66</c:v>
                </c:pt>
                <c:pt idx="28">
                  <c:v>67</c:v>
                </c:pt>
                <c:pt idx="29">
                  <c:v>68</c:v>
                </c:pt>
                <c:pt idx="30">
                  <c:v>69</c:v>
                </c:pt>
                <c:pt idx="31">
                  <c:v>70</c:v>
                </c:pt>
                <c:pt idx="32">
                  <c:v>71</c:v>
                </c:pt>
                <c:pt idx="33">
                  <c:v>72</c:v>
                </c:pt>
                <c:pt idx="34">
                  <c:v>73</c:v>
                </c:pt>
                <c:pt idx="35">
                  <c:v>74</c:v>
                </c:pt>
                <c:pt idx="36">
                  <c:v>75</c:v>
                </c:pt>
                <c:pt idx="37">
                  <c:v>76</c:v>
                </c:pt>
                <c:pt idx="38">
                  <c:v>77</c:v>
                </c:pt>
                <c:pt idx="39">
                  <c:v>78</c:v>
                </c:pt>
                <c:pt idx="40">
                  <c:v>79</c:v>
                </c:pt>
              </c:numCache>
            </c:numRef>
          </c:xVal>
          <c:yVal>
            <c:numRef>
              <c:f>damage!$C$40:$C$80</c:f>
              <c:numCache>
                <c:formatCode>General</c:formatCode>
                <c:ptCount val="41"/>
                <c:pt idx="0">
                  <c:v>77.25</c:v>
                </c:pt>
                <c:pt idx="1">
                  <c:v>81</c:v>
                </c:pt>
                <c:pt idx="2">
                  <c:v>85.25</c:v>
                </c:pt>
                <c:pt idx="3">
                  <c:v>90</c:v>
                </c:pt>
                <c:pt idx="4">
                  <c:v>95.25</c:v>
                </c:pt>
                <c:pt idx="5">
                  <c:v>101</c:v>
                </c:pt>
                <c:pt idx="6">
                  <c:v>107.25</c:v>
                </c:pt>
                <c:pt idx="7">
                  <c:v>114</c:v>
                </c:pt>
                <c:pt idx="8">
                  <c:v>121.25</c:v>
                </c:pt>
                <c:pt idx="9">
                  <c:v>129</c:v>
                </c:pt>
                <c:pt idx="10">
                  <c:v>137.25</c:v>
                </c:pt>
                <c:pt idx="11">
                  <c:v>146</c:v>
                </c:pt>
                <c:pt idx="12">
                  <c:v>155.25</c:v>
                </c:pt>
                <c:pt idx="13">
                  <c:v>165</c:v>
                </c:pt>
                <c:pt idx="14">
                  <c:v>175.25</c:v>
                </c:pt>
                <c:pt idx="15">
                  <c:v>186</c:v>
                </c:pt>
                <c:pt idx="16">
                  <c:v>197.25</c:v>
                </c:pt>
                <c:pt idx="17">
                  <c:v>209</c:v>
                </c:pt>
                <c:pt idx="18">
                  <c:v>221.25</c:v>
                </c:pt>
                <c:pt idx="19">
                  <c:v>234</c:v>
                </c:pt>
                <c:pt idx="20">
                  <c:v>247.25</c:v>
                </c:pt>
                <c:pt idx="21">
                  <c:v>261</c:v>
                </c:pt>
                <c:pt idx="22">
                  <c:v>275.25</c:v>
                </c:pt>
                <c:pt idx="23">
                  <c:v>290</c:v>
                </c:pt>
                <c:pt idx="24">
                  <c:v>305.25</c:v>
                </c:pt>
                <c:pt idx="25">
                  <c:v>321</c:v>
                </c:pt>
                <c:pt idx="26">
                  <c:v>337.25</c:v>
                </c:pt>
                <c:pt idx="27">
                  <c:v>354</c:v>
                </c:pt>
                <c:pt idx="28">
                  <c:v>371.25</c:v>
                </c:pt>
                <c:pt idx="29">
                  <c:v>389</c:v>
                </c:pt>
                <c:pt idx="30">
                  <c:v>407.25</c:v>
                </c:pt>
                <c:pt idx="31">
                  <c:v>426</c:v>
                </c:pt>
                <c:pt idx="32">
                  <c:v>445.25</c:v>
                </c:pt>
                <c:pt idx="33">
                  <c:v>465</c:v>
                </c:pt>
                <c:pt idx="34">
                  <c:v>485.25</c:v>
                </c:pt>
                <c:pt idx="35">
                  <c:v>506</c:v>
                </c:pt>
                <c:pt idx="36">
                  <c:v>527.25</c:v>
                </c:pt>
                <c:pt idx="37">
                  <c:v>549</c:v>
                </c:pt>
                <c:pt idx="38">
                  <c:v>571.25</c:v>
                </c:pt>
                <c:pt idx="39">
                  <c:v>594</c:v>
                </c:pt>
                <c:pt idx="40">
                  <c:v>617.25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70-4352-A4FB-ADF482FBE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829408"/>
        <c:axId val="539824816"/>
      </c:scatterChart>
      <c:valAx>
        <c:axId val="539829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9824816"/>
        <c:crosses val="autoZero"/>
        <c:crossBetween val="midCat"/>
      </c:valAx>
      <c:valAx>
        <c:axId val="53982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9829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accuracy!$B$1</c:f>
              <c:strCache>
                <c:ptCount val="1"/>
                <c:pt idx="0">
                  <c:v>accuracy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7.850393700787401E-3"/>
                  <c:y val="2.2969524642752989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accuracy!$A$2:$A$84</c:f>
              <c:numCache>
                <c:formatCode>General</c:formatCode>
                <c:ptCount val="8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</c:numCache>
            </c:numRef>
          </c:xVal>
          <c:yVal>
            <c:numRef>
              <c:f>accuracy!$B$2:$B$84</c:f>
              <c:numCache>
                <c:formatCode>General</c:formatCode>
                <c:ptCount val="83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23</c:v>
                </c:pt>
                <c:pt idx="5">
                  <c:v>24</c:v>
                </c:pt>
                <c:pt idx="6">
                  <c:v>25</c:v>
                </c:pt>
                <c:pt idx="7">
                  <c:v>27</c:v>
                </c:pt>
                <c:pt idx="8">
                  <c:v>28</c:v>
                </c:pt>
                <c:pt idx="9">
                  <c:v>30</c:v>
                </c:pt>
                <c:pt idx="10">
                  <c:v>31</c:v>
                </c:pt>
                <c:pt idx="11">
                  <c:v>33</c:v>
                </c:pt>
                <c:pt idx="12">
                  <c:v>35</c:v>
                </c:pt>
                <c:pt idx="13">
                  <c:v>36</c:v>
                </c:pt>
                <c:pt idx="14">
                  <c:v>38</c:v>
                </c:pt>
                <c:pt idx="15">
                  <c:v>40</c:v>
                </c:pt>
                <c:pt idx="16">
                  <c:v>42</c:v>
                </c:pt>
                <c:pt idx="17">
                  <c:v>44</c:v>
                </c:pt>
                <c:pt idx="18">
                  <c:v>46</c:v>
                </c:pt>
                <c:pt idx="19">
                  <c:v>48</c:v>
                </c:pt>
                <c:pt idx="20">
                  <c:v>51</c:v>
                </c:pt>
                <c:pt idx="21">
                  <c:v>54</c:v>
                </c:pt>
                <c:pt idx="22">
                  <c:v>56</c:v>
                </c:pt>
                <c:pt idx="23">
                  <c:v>59</c:v>
                </c:pt>
                <c:pt idx="24">
                  <c:v>62</c:v>
                </c:pt>
                <c:pt idx="25">
                  <c:v>65</c:v>
                </c:pt>
                <c:pt idx="26">
                  <c:v>68</c:v>
                </c:pt>
                <c:pt idx="27">
                  <c:v>71</c:v>
                </c:pt>
                <c:pt idx="28">
                  <c:v>74</c:v>
                </c:pt>
                <c:pt idx="29">
                  <c:v>78</c:v>
                </c:pt>
                <c:pt idx="30">
                  <c:v>81</c:v>
                </c:pt>
                <c:pt idx="31">
                  <c:v>85</c:v>
                </c:pt>
                <c:pt idx="32">
                  <c:v>89</c:v>
                </c:pt>
                <c:pt idx="33">
                  <c:v>93</c:v>
                </c:pt>
                <c:pt idx="34">
                  <c:v>97</c:v>
                </c:pt>
                <c:pt idx="35">
                  <c:v>101</c:v>
                </c:pt>
                <c:pt idx="36">
                  <c:v>106</c:v>
                </c:pt>
                <c:pt idx="37">
                  <c:v>111</c:v>
                </c:pt>
                <c:pt idx="38">
                  <c:v>116</c:v>
                </c:pt>
                <c:pt idx="39">
                  <c:v>121</c:v>
                </c:pt>
                <c:pt idx="40">
                  <c:v>126</c:v>
                </c:pt>
                <c:pt idx="41">
                  <c:v>132</c:v>
                </c:pt>
                <c:pt idx="42">
                  <c:v>137</c:v>
                </c:pt>
                <c:pt idx="43">
                  <c:v>143</c:v>
                </c:pt>
                <c:pt idx="44">
                  <c:v>149</c:v>
                </c:pt>
                <c:pt idx="45">
                  <c:v>156</c:v>
                </c:pt>
                <c:pt idx="46">
                  <c:v>162</c:v>
                </c:pt>
                <c:pt idx="47">
                  <c:v>169</c:v>
                </c:pt>
                <c:pt idx="48">
                  <c:v>177</c:v>
                </c:pt>
                <c:pt idx="49">
                  <c:v>184</c:v>
                </c:pt>
                <c:pt idx="50">
                  <c:v>192</c:v>
                </c:pt>
                <c:pt idx="51">
                  <c:v>200</c:v>
                </c:pt>
                <c:pt idx="52">
                  <c:v>208</c:v>
                </c:pt>
                <c:pt idx="53">
                  <c:v>217</c:v>
                </c:pt>
                <c:pt idx="54">
                  <c:v>226</c:v>
                </c:pt>
                <c:pt idx="55">
                  <c:v>236</c:v>
                </c:pt>
                <c:pt idx="56">
                  <c:v>245</c:v>
                </c:pt>
                <c:pt idx="57">
                  <c:v>256</c:v>
                </c:pt>
                <c:pt idx="58">
                  <c:v>266</c:v>
                </c:pt>
                <c:pt idx="59">
                  <c:v>277</c:v>
                </c:pt>
                <c:pt idx="60">
                  <c:v>288</c:v>
                </c:pt>
                <c:pt idx="61">
                  <c:v>300</c:v>
                </c:pt>
                <c:pt idx="62">
                  <c:v>312</c:v>
                </c:pt>
                <c:pt idx="63">
                  <c:v>325</c:v>
                </c:pt>
                <c:pt idx="64">
                  <c:v>338</c:v>
                </c:pt>
                <c:pt idx="65">
                  <c:v>352</c:v>
                </c:pt>
                <c:pt idx="66">
                  <c:v>366</c:v>
                </c:pt>
                <c:pt idx="67">
                  <c:v>381</c:v>
                </c:pt>
                <c:pt idx="68">
                  <c:v>396</c:v>
                </c:pt>
                <c:pt idx="69">
                  <c:v>412</c:v>
                </c:pt>
                <c:pt idx="70">
                  <c:v>428</c:v>
                </c:pt>
                <c:pt idx="71">
                  <c:v>445</c:v>
                </c:pt>
                <c:pt idx="72">
                  <c:v>463</c:v>
                </c:pt>
                <c:pt idx="73">
                  <c:v>481</c:v>
                </c:pt>
                <c:pt idx="74">
                  <c:v>500</c:v>
                </c:pt>
                <c:pt idx="75">
                  <c:v>520</c:v>
                </c:pt>
                <c:pt idx="76">
                  <c:v>540</c:v>
                </c:pt>
                <c:pt idx="77">
                  <c:v>562</c:v>
                </c:pt>
                <c:pt idx="78">
                  <c:v>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E8-468D-9FF6-F1183DE016C1}"/>
            </c:ext>
          </c:extLst>
        </c:ser>
        <c:ser>
          <c:idx val="1"/>
          <c:order val="1"/>
          <c:tx>
            <c:strRef>
              <c:f>accuracy!$C$1</c:f>
              <c:strCache>
                <c:ptCount val="1"/>
                <c:pt idx="0">
                  <c:v>近似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accuracy!$A$2:$A$84</c:f>
              <c:numCache>
                <c:formatCode>General</c:formatCode>
                <c:ptCount val="8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</c:numCache>
            </c:numRef>
          </c:xVal>
          <c:yVal>
            <c:numRef>
              <c:f>accuracy!$C$2:$C$84</c:f>
              <c:numCache>
                <c:formatCode>General</c:formatCode>
                <c:ptCount val="83"/>
                <c:pt idx="0">
                  <c:v>19.8</c:v>
                </c:pt>
                <c:pt idx="1">
                  <c:v>20.45</c:v>
                </c:pt>
                <c:pt idx="2">
                  <c:v>21.2</c:v>
                </c:pt>
                <c:pt idx="3">
                  <c:v>22.05</c:v>
                </c:pt>
                <c:pt idx="4">
                  <c:v>23</c:v>
                </c:pt>
                <c:pt idx="5">
                  <c:v>24.05</c:v>
                </c:pt>
                <c:pt idx="6">
                  <c:v>25.2</c:v>
                </c:pt>
                <c:pt idx="7">
                  <c:v>26.450000000000003</c:v>
                </c:pt>
                <c:pt idx="8">
                  <c:v>27.8</c:v>
                </c:pt>
                <c:pt idx="9">
                  <c:v>29.25</c:v>
                </c:pt>
                <c:pt idx="10">
                  <c:v>30.8</c:v>
                </c:pt>
                <c:pt idx="11">
                  <c:v>32.450000000000003</c:v>
                </c:pt>
                <c:pt idx="12">
                  <c:v>34.200000000000003</c:v>
                </c:pt>
                <c:pt idx="13">
                  <c:v>36.049999999999997</c:v>
                </c:pt>
                <c:pt idx="14">
                  <c:v>38</c:v>
                </c:pt>
                <c:pt idx="15">
                  <c:v>40.049999999999997</c:v>
                </c:pt>
                <c:pt idx="16">
                  <c:v>42.2</c:v>
                </c:pt>
                <c:pt idx="17">
                  <c:v>44.45</c:v>
                </c:pt>
                <c:pt idx="18">
                  <c:v>46.8</c:v>
                </c:pt>
                <c:pt idx="19">
                  <c:v>49.25</c:v>
                </c:pt>
                <c:pt idx="20">
                  <c:v>51.800000000000004</c:v>
                </c:pt>
                <c:pt idx="21">
                  <c:v>54.45</c:v>
                </c:pt>
                <c:pt idx="22">
                  <c:v>57.2</c:v>
                </c:pt>
                <c:pt idx="23">
                  <c:v>60.050000000000004</c:v>
                </c:pt>
                <c:pt idx="24">
                  <c:v>63</c:v>
                </c:pt>
                <c:pt idx="25">
                  <c:v>66.050000000000011</c:v>
                </c:pt>
                <c:pt idx="26">
                  <c:v>69.2</c:v>
                </c:pt>
                <c:pt idx="27">
                  <c:v>72.45</c:v>
                </c:pt>
                <c:pt idx="28">
                  <c:v>75.800000000000011</c:v>
                </c:pt>
                <c:pt idx="29">
                  <c:v>79.25</c:v>
                </c:pt>
                <c:pt idx="30">
                  <c:v>82.8</c:v>
                </c:pt>
                <c:pt idx="31">
                  <c:v>86.45</c:v>
                </c:pt>
                <c:pt idx="32">
                  <c:v>90.2</c:v>
                </c:pt>
                <c:pt idx="33">
                  <c:v>94.05</c:v>
                </c:pt>
                <c:pt idx="34">
                  <c:v>98</c:v>
                </c:pt>
                <c:pt idx="35">
                  <c:v>102.05000000000001</c:v>
                </c:pt>
                <c:pt idx="36">
                  <c:v>106.2</c:v>
                </c:pt>
                <c:pt idx="37">
                  <c:v>112.8</c:v>
                </c:pt>
                <c:pt idx="38">
                  <c:v>116.2</c:v>
                </c:pt>
                <c:pt idx="39">
                  <c:v>120</c:v>
                </c:pt>
                <c:pt idx="40">
                  <c:v>124.2</c:v>
                </c:pt>
                <c:pt idx="41">
                  <c:v>128.80000000000001</c:v>
                </c:pt>
                <c:pt idx="42">
                  <c:v>133.80000000000001</c:v>
                </c:pt>
                <c:pt idx="43">
                  <c:v>139.19999999999999</c:v>
                </c:pt>
                <c:pt idx="44">
                  <c:v>145</c:v>
                </c:pt>
                <c:pt idx="45">
                  <c:v>151.19999999999999</c:v>
                </c:pt>
                <c:pt idx="46">
                  <c:v>157.80000000000001</c:v>
                </c:pt>
                <c:pt idx="47">
                  <c:v>164.8</c:v>
                </c:pt>
                <c:pt idx="48">
                  <c:v>172.2</c:v>
                </c:pt>
                <c:pt idx="49">
                  <c:v>180</c:v>
                </c:pt>
                <c:pt idx="50">
                  <c:v>188.2</c:v>
                </c:pt>
                <c:pt idx="51">
                  <c:v>196.8</c:v>
                </c:pt>
                <c:pt idx="52">
                  <c:v>205.8</c:v>
                </c:pt>
                <c:pt idx="53">
                  <c:v>215.2</c:v>
                </c:pt>
                <c:pt idx="54">
                  <c:v>225</c:v>
                </c:pt>
                <c:pt idx="55">
                  <c:v>235.20000000000002</c:v>
                </c:pt>
                <c:pt idx="56">
                  <c:v>245.8</c:v>
                </c:pt>
                <c:pt idx="57">
                  <c:v>256.8</c:v>
                </c:pt>
                <c:pt idx="58">
                  <c:v>268.20000000000005</c:v>
                </c:pt>
                <c:pt idx="59">
                  <c:v>280</c:v>
                </c:pt>
                <c:pt idx="60">
                  <c:v>292.20000000000005</c:v>
                </c:pt>
                <c:pt idx="61">
                  <c:v>304.8</c:v>
                </c:pt>
                <c:pt idx="62">
                  <c:v>317.8</c:v>
                </c:pt>
                <c:pt idx="63">
                  <c:v>331.20000000000005</c:v>
                </c:pt>
                <c:pt idx="64">
                  <c:v>345</c:v>
                </c:pt>
                <c:pt idx="65">
                  <c:v>359.2</c:v>
                </c:pt>
                <c:pt idx="66">
                  <c:v>373.8</c:v>
                </c:pt>
                <c:pt idx="67">
                  <c:v>388.8</c:v>
                </c:pt>
                <c:pt idx="68">
                  <c:v>404.2</c:v>
                </c:pt>
                <c:pt idx="69">
                  <c:v>420</c:v>
                </c:pt>
                <c:pt idx="70">
                  <c:v>436.20000000000005</c:v>
                </c:pt>
                <c:pt idx="71">
                  <c:v>452.8</c:v>
                </c:pt>
                <c:pt idx="72">
                  <c:v>469.8</c:v>
                </c:pt>
                <c:pt idx="73">
                  <c:v>487.20000000000005</c:v>
                </c:pt>
                <c:pt idx="74">
                  <c:v>505</c:v>
                </c:pt>
                <c:pt idx="75">
                  <c:v>523.20000000000005</c:v>
                </c:pt>
                <c:pt idx="76">
                  <c:v>541.79999999999995</c:v>
                </c:pt>
                <c:pt idx="77">
                  <c:v>560.79999999999995</c:v>
                </c:pt>
                <c:pt idx="78">
                  <c:v>580.20000000000005</c:v>
                </c:pt>
                <c:pt idx="79">
                  <c:v>600</c:v>
                </c:pt>
                <c:pt idx="80">
                  <c:v>620.20000000000005</c:v>
                </c:pt>
                <c:pt idx="81">
                  <c:v>640.80000000000007</c:v>
                </c:pt>
                <c:pt idx="82">
                  <c:v>661.80000000000007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E8-468D-9FF6-F1183DE01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874464"/>
        <c:axId val="450870528"/>
      </c:scatterChart>
      <c:valAx>
        <c:axId val="450874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0870528"/>
        <c:crosses val="autoZero"/>
        <c:crossBetween val="midCat"/>
      </c:valAx>
      <c:valAx>
        <c:axId val="45087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0874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accuracy!$B$1</c:f>
              <c:strCache>
                <c:ptCount val="1"/>
                <c:pt idx="0">
                  <c:v>accuracy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accuracy!$A$39:$A$85</c:f>
              <c:numCache>
                <c:formatCode>General</c:formatCode>
                <c:ptCount val="47"/>
                <c:pt idx="0">
                  <c:v>38</c:v>
                </c:pt>
                <c:pt idx="1">
                  <c:v>39</c:v>
                </c:pt>
                <c:pt idx="2">
                  <c:v>40</c:v>
                </c:pt>
                <c:pt idx="3">
                  <c:v>41</c:v>
                </c:pt>
                <c:pt idx="4">
                  <c:v>42</c:v>
                </c:pt>
                <c:pt idx="5">
                  <c:v>43</c:v>
                </c:pt>
                <c:pt idx="6">
                  <c:v>44</c:v>
                </c:pt>
                <c:pt idx="7">
                  <c:v>45</c:v>
                </c:pt>
                <c:pt idx="8">
                  <c:v>46</c:v>
                </c:pt>
                <c:pt idx="9">
                  <c:v>47</c:v>
                </c:pt>
                <c:pt idx="10">
                  <c:v>48</c:v>
                </c:pt>
                <c:pt idx="11">
                  <c:v>49</c:v>
                </c:pt>
                <c:pt idx="12">
                  <c:v>50</c:v>
                </c:pt>
                <c:pt idx="13">
                  <c:v>51</c:v>
                </c:pt>
                <c:pt idx="14">
                  <c:v>52</c:v>
                </c:pt>
                <c:pt idx="15">
                  <c:v>53</c:v>
                </c:pt>
                <c:pt idx="16">
                  <c:v>54</c:v>
                </c:pt>
                <c:pt idx="17">
                  <c:v>55</c:v>
                </c:pt>
                <c:pt idx="18">
                  <c:v>56</c:v>
                </c:pt>
                <c:pt idx="19">
                  <c:v>57</c:v>
                </c:pt>
                <c:pt idx="20">
                  <c:v>58</c:v>
                </c:pt>
                <c:pt idx="21">
                  <c:v>59</c:v>
                </c:pt>
                <c:pt idx="22">
                  <c:v>60</c:v>
                </c:pt>
                <c:pt idx="23">
                  <c:v>61</c:v>
                </c:pt>
                <c:pt idx="24">
                  <c:v>62</c:v>
                </c:pt>
                <c:pt idx="25">
                  <c:v>63</c:v>
                </c:pt>
                <c:pt idx="26">
                  <c:v>64</c:v>
                </c:pt>
                <c:pt idx="27">
                  <c:v>65</c:v>
                </c:pt>
                <c:pt idx="28">
                  <c:v>66</c:v>
                </c:pt>
                <c:pt idx="29">
                  <c:v>67</c:v>
                </c:pt>
                <c:pt idx="30">
                  <c:v>68</c:v>
                </c:pt>
                <c:pt idx="31">
                  <c:v>69</c:v>
                </c:pt>
                <c:pt idx="32">
                  <c:v>70</c:v>
                </c:pt>
                <c:pt idx="33">
                  <c:v>71</c:v>
                </c:pt>
                <c:pt idx="34">
                  <c:v>72</c:v>
                </c:pt>
                <c:pt idx="35">
                  <c:v>73</c:v>
                </c:pt>
                <c:pt idx="36">
                  <c:v>74</c:v>
                </c:pt>
                <c:pt idx="37">
                  <c:v>75</c:v>
                </c:pt>
                <c:pt idx="38">
                  <c:v>76</c:v>
                </c:pt>
                <c:pt idx="39">
                  <c:v>77</c:v>
                </c:pt>
                <c:pt idx="40">
                  <c:v>78</c:v>
                </c:pt>
                <c:pt idx="41">
                  <c:v>79</c:v>
                </c:pt>
                <c:pt idx="42">
                  <c:v>80</c:v>
                </c:pt>
                <c:pt idx="43">
                  <c:v>81</c:v>
                </c:pt>
                <c:pt idx="44">
                  <c:v>82</c:v>
                </c:pt>
                <c:pt idx="45">
                  <c:v>83</c:v>
                </c:pt>
                <c:pt idx="46">
                  <c:v>83</c:v>
                </c:pt>
              </c:numCache>
            </c:numRef>
          </c:xVal>
          <c:yVal>
            <c:numRef>
              <c:f>accuracy!$B$39:$B$85</c:f>
              <c:numCache>
                <c:formatCode>General</c:formatCode>
                <c:ptCount val="47"/>
                <c:pt idx="0">
                  <c:v>111</c:v>
                </c:pt>
                <c:pt idx="1">
                  <c:v>116</c:v>
                </c:pt>
                <c:pt idx="2">
                  <c:v>121</c:v>
                </c:pt>
                <c:pt idx="3">
                  <c:v>126</c:v>
                </c:pt>
                <c:pt idx="4">
                  <c:v>132</c:v>
                </c:pt>
                <c:pt idx="5">
                  <c:v>137</c:v>
                </c:pt>
                <c:pt idx="6">
                  <c:v>143</c:v>
                </c:pt>
                <c:pt idx="7">
                  <c:v>149</c:v>
                </c:pt>
                <c:pt idx="8">
                  <c:v>156</c:v>
                </c:pt>
                <c:pt idx="9">
                  <c:v>162</c:v>
                </c:pt>
                <c:pt idx="10">
                  <c:v>169</c:v>
                </c:pt>
                <c:pt idx="11">
                  <c:v>177</c:v>
                </c:pt>
                <c:pt idx="12">
                  <c:v>184</c:v>
                </c:pt>
                <c:pt idx="13">
                  <c:v>192</c:v>
                </c:pt>
                <c:pt idx="14">
                  <c:v>200</c:v>
                </c:pt>
                <c:pt idx="15">
                  <c:v>208</c:v>
                </c:pt>
                <c:pt idx="16">
                  <c:v>217</c:v>
                </c:pt>
                <c:pt idx="17">
                  <c:v>226</c:v>
                </c:pt>
                <c:pt idx="18">
                  <c:v>236</c:v>
                </c:pt>
                <c:pt idx="19">
                  <c:v>245</c:v>
                </c:pt>
                <c:pt idx="20">
                  <c:v>256</c:v>
                </c:pt>
                <c:pt idx="21">
                  <c:v>266</c:v>
                </c:pt>
                <c:pt idx="22">
                  <c:v>277</c:v>
                </c:pt>
                <c:pt idx="23">
                  <c:v>288</c:v>
                </c:pt>
                <c:pt idx="24">
                  <c:v>300</c:v>
                </c:pt>
                <c:pt idx="25">
                  <c:v>312</c:v>
                </c:pt>
                <c:pt idx="26">
                  <c:v>325</c:v>
                </c:pt>
                <c:pt idx="27">
                  <c:v>338</c:v>
                </c:pt>
                <c:pt idx="28">
                  <c:v>352</c:v>
                </c:pt>
                <c:pt idx="29">
                  <c:v>366</c:v>
                </c:pt>
                <c:pt idx="30">
                  <c:v>381</c:v>
                </c:pt>
                <c:pt idx="31">
                  <c:v>396</c:v>
                </c:pt>
                <c:pt idx="32">
                  <c:v>412</c:v>
                </c:pt>
                <c:pt idx="33">
                  <c:v>428</c:v>
                </c:pt>
                <c:pt idx="34">
                  <c:v>445</c:v>
                </c:pt>
                <c:pt idx="35">
                  <c:v>463</c:v>
                </c:pt>
                <c:pt idx="36">
                  <c:v>481</c:v>
                </c:pt>
                <c:pt idx="37">
                  <c:v>500</c:v>
                </c:pt>
                <c:pt idx="38">
                  <c:v>520</c:v>
                </c:pt>
                <c:pt idx="39">
                  <c:v>540</c:v>
                </c:pt>
                <c:pt idx="40">
                  <c:v>562</c:v>
                </c:pt>
                <c:pt idx="41">
                  <c:v>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F9-461D-AE4C-F284B1F2AB70}"/>
            </c:ext>
          </c:extLst>
        </c:ser>
        <c:ser>
          <c:idx val="1"/>
          <c:order val="1"/>
          <c:tx>
            <c:strRef>
              <c:f>accuracy!$C$1</c:f>
              <c:strCache>
                <c:ptCount val="1"/>
                <c:pt idx="0">
                  <c:v>近似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accuracy!$A$39:$A$85</c:f>
              <c:numCache>
                <c:formatCode>General</c:formatCode>
                <c:ptCount val="47"/>
                <c:pt idx="0">
                  <c:v>38</c:v>
                </c:pt>
                <c:pt idx="1">
                  <c:v>39</c:v>
                </c:pt>
                <c:pt idx="2">
                  <c:v>40</c:v>
                </c:pt>
                <c:pt idx="3">
                  <c:v>41</c:v>
                </c:pt>
                <c:pt idx="4">
                  <c:v>42</c:v>
                </c:pt>
                <c:pt idx="5">
                  <c:v>43</c:v>
                </c:pt>
                <c:pt idx="6">
                  <c:v>44</c:v>
                </c:pt>
                <c:pt idx="7">
                  <c:v>45</c:v>
                </c:pt>
                <c:pt idx="8">
                  <c:v>46</c:v>
                </c:pt>
                <c:pt idx="9">
                  <c:v>47</c:v>
                </c:pt>
                <c:pt idx="10">
                  <c:v>48</c:v>
                </c:pt>
                <c:pt idx="11">
                  <c:v>49</c:v>
                </c:pt>
                <c:pt idx="12">
                  <c:v>50</c:v>
                </c:pt>
                <c:pt idx="13">
                  <c:v>51</c:v>
                </c:pt>
                <c:pt idx="14">
                  <c:v>52</c:v>
                </c:pt>
                <c:pt idx="15">
                  <c:v>53</c:v>
                </c:pt>
                <c:pt idx="16">
                  <c:v>54</c:v>
                </c:pt>
                <c:pt idx="17">
                  <c:v>55</c:v>
                </c:pt>
                <c:pt idx="18">
                  <c:v>56</c:v>
                </c:pt>
                <c:pt idx="19">
                  <c:v>57</c:v>
                </c:pt>
                <c:pt idx="20">
                  <c:v>58</c:v>
                </c:pt>
                <c:pt idx="21">
                  <c:v>59</c:v>
                </c:pt>
                <c:pt idx="22">
                  <c:v>60</c:v>
                </c:pt>
                <c:pt idx="23">
                  <c:v>61</c:v>
                </c:pt>
                <c:pt idx="24">
                  <c:v>62</c:v>
                </c:pt>
                <c:pt idx="25">
                  <c:v>63</c:v>
                </c:pt>
                <c:pt idx="26">
                  <c:v>64</c:v>
                </c:pt>
                <c:pt idx="27">
                  <c:v>65</c:v>
                </c:pt>
                <c:pt idx="28">
                  <c:v>66</c:v>
                </c:pt>
                <c:pt idx="29">
                  <c:v>67</c:v>
                </c:pt>
                <c:pt idx="30">
                  <c:v>68</c:v>
                </c:pt>
                <c:pt idx="31">
                  <c:v>69</c:v>
                </c:pt>
                <c:pt idx="32">
                  <c:v>70</c:v>
                </c:pt>
                <c:pt idx="33">
                  <c:v>71</c:v>
                </c:pt>
                <c:pt idx="34">
                  <c:v>72</c:v>
                </c:pt>
                <c:pt idx="35">
                  <c:v>73</c:v>
                </c:pt>
                <c:pt idx="36">
                  <c:v>74</c:v>
                </c:pt>
                <c:pt idx="37">
                  <c:v>75</c:v>
                </c:pt>
                <c:pt idx="38">
                  <c:v>76</c:v>
                </c:pt>
                <c:pt idx="39">
                  <c:v>77</c:v>
                </c:pt>
                <c:pt idx="40">
                  <c:v>78</c:v>
                </c:pt>
                <c:pt idx="41">
                  <c:v>79</c:v>
                </c:pt>
                <c:pt idx="42">
                  <c:v>80</c:v>
                </c:pt>
                <c:pt idx="43">
                  <c:v>81</c:v>
                </c:pt>
                <c:pt idx="44">
                  <c:v>82</c:v>
                </c:pt>
                <c:pt idx="45">
                  <c:v>83</c:v>
                </c:pt>
                <c:pt idx="46">
                  <c:v>83</c:v>
                </c:pt>
              </c:numCache>
            </c:numRef>
          </c:xVal>
          <c:yVal>
            <c:numRef>
              <c:f>accuracy!$C$39:$C$85</c:f>
              <c:numCache>
                <c:formatCode>General</c:formatCode>
                <c:ptCount val="47"/>
                <c:pt idx="0">
                  <c:v>112.8</c:v>
                </c:pt>
                <c:pt idx="1">
                  <c:v>116.2</c:v>
                </c:pt>
                <c:pt idx="2">
                  <c:v>120</c:v>
                </c:pt>
                <c:pt idx="3">
                  <c:v>124.2</c:v>
                </c:pt>
                <c:pt idx="4">
                  <c:v>128.80000000000001</c:v>
                </c:pt>
                <c:pt idx="5">
                  <c:v>133.80000000000001</c:v>
                </c:pt>
                <c:pt idx="6">
                  <c:v>139.19999999999999</c:v>
                </c:pt>
                <c:pt idx="7">
                  <c:v>145</c:v>
                </c:pt>
                <c:pt idx="8">
                  <c:v>151.19999999999999</c:v>
                </c:pt>
                <c:pt idx="9">
                  <c:v>157.80000000000001</c:v>
                </c:pt>
                <c:pt idx="10">
                  <c:v>164.8</c:v>
                </c:pt>
                <c:pt idx="11">
                  <c:v>172.2</c:v>
                </c:pt>
                <c:pt idx="12">
                  <c:v>180</c:v>
                </c:pt>
                <c:pt idx="13">
                  <c:v>188.2</c:v>
                </c:pt>
                <c:pt idx="14">
                  <c:v>196.8</c:v>
                </c:pt>
                <c:pt idx="15">
                  <c:v>205.8</c:v>
                </c:pt>
                <c:pt idx="16">
                  <c:v>215.2</c:v>
                </c:pt>
                <c:pt idx="17">
                  <c:v>225</c:v>
                </c:pt>
                <c:pt idx="18">
                  <c:v>235.20000000000002</c:v>
                </c:pt>
                <c:pt idx="19">
                  <c:v>245.8</c:v>
                </c:pt>
                <c:pt idx="20">
                  <c:v>256.8</c:v>
                </c:pt>
                <c:pt idx="21">
                  <c:v>268.20000000000005</c:v>
                </c:pt>
                <c:pt idx="22">
                  <c:v>280</c:v>
                </c:pt>
                <c:pt idx="23">
                  <c:v>292.20000000000005</c:v>
                </c:pt>
                <c:pt idx="24">
                  <c:v>304.8</c:v>
                </c:pt>
                <c:pt idx="25">
                  <c:v>317.8</c:v>
                </c:pt>
                <c:pt idx="26">
                  <c:v>331.20000000000005</c:v>
                </c:pt>
                <c:pt idx="27">
                  <c:v>345</c:v>
                </c:pt>
                <c:pt idx="28">
                  <c:v>359.2</c:v>
                </c:pt>
                <c:pt idx="29">
                  <c:v>373.8</c:v>
                </c:pt>
                <c:pt idx="30">
                  <c:v>388.8</c:v>
                </c:pt>
                <c:pt idx="31">
                  <c:v>404.2</c:v>
                </c:pt>
                <c:pt idx="32">
                  <c:v>420</c:v>
                </c:pt>
                <c:pt idx="33">
                  <c:v>436.20000000000005</c:v>
                </c:pt>
                <c:pt idx="34">
                  <c:v>452.8</c:v>
                </c:pt>
                <c:pt idx="35">
                  <c:v>469.8</c:v>
                </c:pt>
                <c:pt idx="36">
                  <c:v>487.20000000000005</c:v>
                </c:pt>
                <c:pt idx="37">
                  <c:v>505</c:v>
                </c:pt>
                <c:pt idx="38">
                  <c:v>523.20000000000005</c:v>
                </c:pt>
                <c:pt idx="39">
                  <c:v>541.79999999999995</c:v>
                </c:pt>
                <c:pt idx="40">
                  <c:v>560.79999999999995</c:v>
                </c:pt>
                <c:pt idx="41">
                  <c:v>580.20000000000005</c:v>
                </c:pt>
                <c:pt idx="42">
                  <c:v>600</c:v>
                </c:pt>
                <c:pt idx="43">
                  <c:v>620.20000000000005</c:v>
                </c:pt>
                <c:pt idx="44">
                  <c:v>640.80000000000007</c:v>
                </c:pt>
                <c:pt idx="45">
                  <c:v>661.80000000000007</c:v>
                </c:pt>
                <c:pt idx="46">
                  <c:v>661.80000000000007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F9-461D-AE4C-F284B1F2A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829408"/>
        <c:axId val="539824816"/>
      </c:scatterChart>
      <c:valAx>
        <c:axId val="539829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9824816"/>
        <c:crosses val="autoZero"/>
        <c:crossBetween val="midCat"/>
      </c:valAx>
      <c:valAx>
        <c:axId val="53982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9829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evasion!$B$1</c:f>
              <c:strCache>
                <c:ptCount val="1"/>
                <c:pt idx="0">
                  <c:v>evasion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7.850393700787401E-3"/>
                  <c:y val="2.2969524642752989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evasion!$A$2:$A$84</c:f>
              <c:numCache>
                <c:formatCode>General</c:formatCode>
                <c:ptCount val="8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</c:numCache>
            </c:numRef>
          </c:xVal>
          <c:yVal>
            <c:numRef>
              <c:f>evasion!$B$2:$B$84</c:f>
              <c:numCache>
                <c:formatCode>General</c:formatCode>
                <c:ptCount val="83"/>
                <c:pt idx="0">
                  <c:v>36</c:v>
                </c:pt>
                <c:pt idx="1">
                  <c:v>42</c:v>
                </c:pt>
                <c:pt idx="2">
                  <c:v>49</c:v>
                </c:pt>
                <c:pt idx="3">
                  <c:v>56</c:v>
                </c:pt>
                <c:pt idx="4">
                  <c:v>64</c:v>
                </c:pt>
                <c:pt idx="5">
                  <c:v>72</c:v>
                </c:pt>
                <c:pt idx="6">
                  <c:v>80</c:v>
                </c:pt>
                <c:pt idx="7">
                  <c:v>89</c:v>
                </c:pt>
                <c:pt idx="8">
                  <c:v>98</c:v>
                </c:pt>
                <c:pt idx="9">
                  <c:v>108</c:v>
                </c:pt>
                <c:pt idx="10">
                  <c:v>118</c:v>
                </c:pt>
                <c:pt idx="11">
                  <c:v>128</c:v>
                </c:pt>
                <c:pt idx="12">
                  <c:v>140</c:v>
                </c:pt>
                <c:pt idx="13">
                  <c:v>151</c:v>
                </c:pt>
                <c:pt idx="14">
                  <c:v>164</c:v>
                </c:pt>
                <c:pt idx="15">
                  <c:v>177</c:v>
                </c:pt>
                <c:pt idx="16">
                  <c:v>190</c:v>
                </c:pt>
                <c:pt idx="17">
                  <c:v>204</c:v>
                </c:pt>
                <c:pt idx="18">
                  <c:v>219</c:v>
                </c:pt>
                <c:pt idx="19">
                  <c:v>235</c:v>
                </c:pt>
                <c:pt idx="20">
                  <c:v>251</c:v>
                </c:pt>
                <c:pt idx="21">
                  <c:v>268</c:v>
                </c:pt>
                <c:pt idx="22">
                  <c:v>286</c:v>
                </c:pt>
                <c:pt idx="23">
                  <c:v>305</c:v>
                </c:pt>
                <c:pt idx="24">
                  <c:v>325</c:v>
                </c:pt>
                <c:pt idx="25">
                  <c:v>345</c:v>
                </c:pt>
                <c:pt idx="26">
                  <c:v>367</c:v>
                </c:pt>
                <c:pt idx="27">
                  <c:v>389</c:v>
                </c:pt>
                <c:pt idx="28">
                  <c:v>412</c:v>
                </c:pt>
                <c:pt idx="29">
                  <c:v>437</c:v>
                </c:pt>
                <c:pt idx="30">
                  <c:v>463</c:v>
                </c:pt>
                <c:pt idx="31">
                  <c:v>489</c:v>
                </c:pt>
                <c:pt idx="32">
                  <c:v>517</c:v>
                </c:pt>
                <c:pt idx="33">
                  <c:v>546</c:v>
                </c:pt>
                <c:pt idx="34">
                  <c:v>577</c:v>
                </c:pt>
                <c:pt idx="35">
                  <c:v>609</c:v>
                </c:pt>
                <c:pt idx="36">
                  <c:v>642</c:v>
                </c:pt>
                <c:pt idx="37">
                  <c:v>676</c:v>
                </c:pt>
                <c:pt idx="38">
                  <c:v>713</c:v>
                </c:pt>
                <c:pt idx="39">
                  <c:v>750</c:v>
                </c:pt>
                <c:pt idx="40">
                  <c:v>790</c:v>
                </c:pt>
                <c:pt idx="41">
                  <c:v>831</c:v>
                </c:pt>
                <c:pt idx="42">
                  <c:v>873</c:v>
                </c:pt>
                <c:pt idx="43">
                  <c:v>918</c:v>
                </c:pt>
                <c:pt idx="44">
                  <c:v>964</c:v>
                </c:pt>
                <c:pt idx="45">
                  <c:v>1013</c:v>
                </c:pt>
                <c:pt idx="46">
                  <c:v>1063</c:v>
                </c:pt>
                <c:pt idx="47">
                  <c:v>1116</c:v>
                </c:pt>
                <c:pt idx="48">
                  <c:v>1170</c:v>
                </c:pt>
                <c:pt idx="49">
                  <c:v>1227</c:v>
                </c:pt>
                <c:pt idx="50">
                  <c:v>1297</c:v>
                </c:pt>
                <c:pt idx="51">
                  <c:v>1349</c:v>
                </c:pt>
                <c:pt idx="52">
                  <c:v>1413</c:v>
                </c:pt>
                <c:pt idx="53">
                  <c:v>1480</c:v>
                </c:pt>
                <c:pt idx="54">
                  <c:v>1550</c:v>
                </c:pt>
                <c:pt idx="55">
                  <c:v>1623</c:v>
                </c:pt>
                <c:pt idx="56">
                  <c:v>1698</c:v>
                </c:pt>
                <c:pt idx="57">
                  <c:v>1777</c:v>
                </c:pt>
                <c:pt idx="58">
                  <c:v>1859</c:v>
                </c:pt>
                <c:pt idx="59">
                  <c:v>1944</c:v>
                </c:pt>
                <c:pt idx="60">
                  <c:v>2033</c:v>
                </c:pt>
                <c:pt idx="61">
                  <c:v>2125</c:v>
                </c:pt>
                <c:pt idx="62">
                  <c:v>2221</c:v>
                </c:pt>
                <c:pt idx="63">
                  <c:v>2321</c:v>
                </c:pt>
                <c:pt idx="64">
                  <c:v>2425</c:v>
                </c:pt>
                <c:pt idx="65">
                  <c:v>2533</c:v>
                </c:pt>
                <c:pt idx="66">
                  <c:v>2645</c:v>
                </c:pt>
                <c:pt idx="67">
                  <c:v>2761</c:v>
                </c:pt>
                <c:pt idx="68">
                  <c:v>2883</c:v>
                </c:pt>
                <c:pt idx="69">
                  <c:v>3009</c:v>
                </c:pt>
                <c:pt idx="70">
                  <c:v>3140</c:v>
                </c:pt>
                <c:pt idx="71">
                  <c:v>3276</c:v>
                </c:pt>
                <c:pt idx="72">
                  <c:v>3418</c:v>
                </c:pt>
                <c:pt idx="73">
                  <c:v>3565</c:v>
                </c:pt>
                <c:pt idx="74">
                  <c:v>3717</c:v>
                </c:pt>
                <c:pt idx="75">
                  <c:v>3876</c:v>
                </c:pt>
                <c:pt idx="76">
                  <c:v>4041</c:v>
                </c:pt>
                <c:pt idx="77">
                  <c:v>4213</c:v>
                </c:pt>
                <c:pt idx="78">
                  <c:v>4391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11-4C8A-A780-56A258C980D3}"/>
            </c:ext>
          </c:extLst>
        </c:ser>
        <c:ser>
          <c:idx val="1"/>
          <c:order val="1"/>
          <c:tx>
            <c:strRef>
              <c:f>evasion!$C$1</c:f>
              <c:strCache>
                <c:ptCount val="1"/>
                <c:pt idx="0">
                  <c:v>近似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evasion!$A$2:$A$84</c:f>
              <c:numCache>
                <c:formatCode>General</c:formatCode>
                <c:ptCount val="8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</c:numCache>
            </c:numRef>
          </c:xVal>
          <c:yVal>
            <c:numRef>
              <c:f>evasion!$C$2:$C$84</c:f>
              <c:numCache>
                <c:formatCode>General</c:formatCode>
                <c:ptCount val="83"/>
                <c:pt idx="0">
                  <c:v>40.5</c:v>
                </c:pt>
                <c:pt idx="1">
                  <c:v>42</c:v>
                </c:pt>
                <c:pt idx="2">
                  <c:v>44.5</c:v>
                </c:pt>
                <c:pt idx="3">
                  <c:v>48</c:v>
                </c:pt>
                <c:pt idx="4">
                  <c:v>52.5</c:v>
                </c:pt>
                <c:pt idx="5">
                  <c:v>58</c:v>
                </c:pt>
                <c:pt idx="6">
                  <c:v>64.5</c:v>
                </c:pt>
                <c:pt idx="7">
                  <c:v>72</c:v>
                </c:pt>
                <c:pt idx="8">
                  <c:v>80.5</c:v>
                </c:pt>
                <c:pt idx="9">
                  <c:v>90</c:v>
                </c:pt>
                <c:pt idx="10">
                  <c:v>100.5</c:v>
                </c:pt>
                <c:pt idx="11">
                  <c:v>112</c:v>
                </c:pt>
                <c:pt idx="12">
                  <c:v>124.5</c:v>
                </c:pt>
                <c:pt idx="13">
                  <c:v>138</c:v>
                </c:pt>
                <c:pt idx="14">
                  <c:v>152.5</c:v>
                </c:pt>
                <c:pt idx="15">
                  <c:v>168</c:v>
                </c:pt>
                <c:pt idx="16">
                  <c:v>184.5</c:v>
                </c:pt>
                <c:pt idx="17">
                  <c:v>202</c:v>
                </c:pt>
                <c:pt idx="18">
                  <c:v>220.5</c:v>
                </c:pt>
                <c:pt idx="19">
                  <c:v>240</c:v>
                </c:pt>
                <c:pt idx="20">
                  <c:v>260.5</c:v>
                </c:pt>
                <c:pt idx="21">
                  <c:v>282</c:v>
                </c:pt>
                <c:pt idx="22">
                  <c:v>304.5</c:v>
                </c:pt>
                <c:pt idx="23">
                  <c:v>328</c:v>
                </c:pt>
                <c:pt idx="24">
                  <c:v>352.5</c:v>
                </c:pt>
                <c:pt idx="25">
                  <c:v>378</c:v>
                </c:pt>
                <c:pt idx="26">
                  <c:v>404.5</c:v>
                </c:pt>
                <c:pt idx="27">
                  <c:v>432</c:v>
                </c:pt>
                <c:pt idx="28">
                  <c:v>460.5</c:v>
                </c:pt>
                <c:pt idx="29">
                  <c:v>490</c:v>
                </c:pt>
                <c:pt idx="30">
                  <c:v>520.5</c:v>
                </c:pt>
                <c:pt idx="31">
                  <c:v>552</c:v>
                </c:pt>
                <c:pt idx="32">
                  <c:v>584.5</c:v>
                </c:pt>
                <c:pt idx="33">
                  <c:v>618</c:v>
                </c:pt>
                <c:pt idx="34">
                  <c:v>652.5</c:v>
                </c:pt>
                <c:pt idx="35">
                  <c:v>688</c:v>
                </c:pt>
                <c:pt idx="36">
                  <c:v>724.5</c:v>
                </c:pt>
                <c:pt idx="37">
                  <c:v>762</c:v>
                </c:pt>
                <c:pt idx="38">
                  <c:v>800.5</c:v>
                </c:pt>
                <c:pt idx="39">
                  <c:v>840</c:v>
                </c:pt>
                <c:pt idx="40">
                  <c:v>880.5</c:v>
                </c:pt>
                <c:pt idx="41">
                  <c:v>922</c:v>
                </c:pt>
                <c:pt idx="42">
                  <c:v>964.5</c:v>
                </c:pt>
                <c:pt idx="43">
                  <c:v>1008</c:v>
                </c:pt>
                <c:pt idx="44">
                  <c:v>1052.5</c:v>
                </c:pt>
                <c:pt idx="45">
                  <c:v>1098</c:v>
                </c:pt>
                <c:pt idx="46">
                  <c:v>1144.5</c:v>
                </c:pt>
                <c:pt idx="47">
                  <c:v>1192</c:v>
                </c:pt>
                <c:pt idx="48">
                  <c:v>1240.5</c:v>
                </c:pt>
                <c:pt idx="49">
                  <c:v>1290</c:v>
                </c:pt>
                <c:pt idx="50">
                  <c:v>1340.5</c:v>
                </c:pt>
                <c:pt idx="51">
                  <c:v>1392</c:v>
                </c:pt>
                <c:pt idx="52">
                  <c:v>1444.5</c:v>
                </c:pt>
                <c:pt idx="53">
                  <c:v>1498</c:v>
                </c:pt>
                <c:pt idx="54">
                  <c:v>1575</c:v>
                </c:pt>
                <c:pt idx="55">
                  <c:v>1666</c:v>
                </c:pt>
                <c:pt idx="56">
                  <c:v>1759</c:v>
                </c:pt>
                <c:pt idx="57">
                  <c:v>1854</c:v>
                </c:pt>
                <c:pt idx="58">
                  <c:v>1951</c:v>
                </c:pt>
                <c:pt idx="59">
                  <c:v>2050</c:v>
                </c:pt>
                <c:pt idx="60">
                  <c:v>2151</c:v>
                </c:pt>
                <c:pt idx="61">
                  <c:v>2254</c:v>
                </c:pt>
                <c:pt idx="62">
                  <c:v>2359</c:v>
                </c:pt>
                <c:pt idx="63">
                  <c:v>2466</c:v>
                </c:pt>
                <c:pt idx="64">
                  <c:v>2575</c:v>
                </c:pt>
                <c:pt idx="65">
                  <c:v>2686</c:v>
                </c:pt>
                <c:pt idx="66">
                  <c:v>2799</c:v>
                </c:pt>
                <c:pt idx="67">
                  <c:v>2914</c:v>
                </c:pt>
                <c:pt idx="68">
                  <c:v>3031</c:v>
                </c:pt>
                <c:pt idx="69">
                  <c:v>3150</c:v>
                </c:pt>
                <c:pt idx="70">
                  <c:v>3271</c:v>
                </c:pt>
                <c:pt idx="71">
                  <c:v>3394</c:v>
                </c:pt>
                <c:pt idx="72">
                  <c:v>3519</c:v>
                </c:pt>
                <c:pt idx="73">
                  <c:v>3646</c:v>
                </c:pt>
                <c:pt idx="74">
                  <c:v>3775</c:v>
                </c:pt>
                <c:pt idx="75">
                  <c:v>3906</c:v>
                </c:pt>
                <c:pt idx="76">
                  <c:v>4039</c:v>
                </c:pt>
                <c:pt idx="77">
                  <c:v>4174</c:v>
                </c:pt>
                <c:pt idx="78">
                  <c:v>4311</c:v>
                </c:pt>
                <c:pt idx="79">
                  <c:v>4450</c:v>
                </c:pt>
                <c:pt idx="80">
                  <c:v>4591</c:v>
                </c:pt>
                <c:pt idx="81">
                  <c:v>4734</c:v>
                </c:pt>
                <c:pt idx="82">
                  <c:v>4879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C11-4C8A-A780-56A258C980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874464"/>
        <c:axId val="450870528"/>
      </c:scatterChart>
      <c:valAx>
        <c:axId val="450874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0870528"/>
        <c:crosses val="autoZero"/>
        <c:crossBetween val="midCat"/>
      </c:valAx>
      <c:valAx>
        <c:axId val="45087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0874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evasion!$B$1</c:f>
              <c:strCache>
                <c:ptCount val="1"/>
                <c:pt idx="0">
                  <c:v>evasion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evasion!$A$57:$A$80</c:f>
              <c:numCache>
                <c:formatCode>General</c:formatCode>
                <c:ptCount val="24"/>
                <c:pt idx="0">
                  <c:v>56</c:v>
                </c:pt>
                <c:pt idx="1">
                  <c:v>57</c:v>
                </c:pt>
                <c:pt idx="2">
                  <c:v>58</c:v>
                </c:pt>
                <c:pt idx="3">
                  <c:v>59</c:v>
                </c:pt>
                <c:pt idx="4">
                  <c:v>60</c:v>
                </c:pt>
                <c:pt idx="5">
                  <c:v>61</c:v>
                </c:pt>
                <c:pt idx="6">
                  <c:v>62</c:v>
                </c:pt>
                <c:pt idx="7">
                  <c:v>63</c:v>
                </c:pt>
                <c:pt idx="8">
                  <c:v>64</c:v>
                </c:pt>
                <c:pt idx="9">
                  <c:v>65</c:v>
                </c:pt>
                <c:pt idx="10">
                  <c:v>66</c:v>
                </c:pt>
                <c:pt idx="11">
                  <c:v>67</c:v>
                </c:pt>
                <c:pt idx="12">
                  <c:v>68</c:v>
                </c:pt>
                <c:pt idx="13">
                  <c:v>69</c:v>
                </c:pt>
                <c:pt idx="14">
                  <c:v>70</c:v>
                </c:pt>
                <c:pt idx="15">
                  <c:v>71</c:v>
                </c:pt>
                <c:pt idx="16">
                  <c:v>72</c:v>
                </c:pt>
                <c:pt idx="17">
                  <c:v>73</c:v>
                </c:pt>
                <c:pt idx="18">
                  <c:v>74</c:v>
                </c:pt>
                <c:pt idx="19">
                  <c:v>75</c:v>
                </c:pt>
                <c:pt idx="20">
                  <c:v>76</c:v>
                </c:pt>
                <c:pt idx="21">
                  <c:v>77</c:v>
                </c:pt>
                <c:pt idx="22">
                  <c:v>78</c:v>
                </c:pt>
                <c:pt idx="23">
                  <c:v>79</c:v>
                </c:pt>
              </c:numCache>
            </c:numRef>
          </c:xVal>
          <c:yVal>
            <c:numRef>
              <c:f>evasion!$B$57:$B$80</c:f>
              <c:numCache>
                <c:formatCode>General</c:formatCode>
                <c:ptCount val="24"/>
                <c:pt idx="0">
                  <c:v>1623</c:v>
                </c:pt>
                <c:pt idx="1">
                  <c:v>1698</c:v>
                </c:pt>
                <c:pt idx="2">
                  <c:v>1777</c:v>
                </c:pt>
                <c:pt idx="3">
                  <c:v>1859</c:v>
                </c:pt>
                <c:pt idx="4">
                  <c:v>1944</c:v>
                </c:pt>
                <c:pt idx="5">
                  <c:v>2033</c:v>
                </c:pt>
                <c:pt idx="6">
                  <c:v>2125</c:v>
                </c:pt>
                <c:pt idx="7">
                  <c:v>2221</c:v>
                </c:pt>
                <c:pt idx="8">
                  <c:v>2321</c:v>
                </c:pt>
                <c:pt idx="9">
                  <c:v>2425</c:v>
                </c:pt>
                <c:pt idx="10">
                  <c:v>2533</c:v>
                </c:pt>
                <c:pt idx="11">
                  <c:v>2645</c:v>
                </c:pt>
                <c:pt idx="12">
                  <c:v>2761</c:v>
                </c:pt>
                <c:pt idx="13">
                  <c:v>2883</c:v>
                </c:pt>
                <c:pt idx="14">
                  <c:v>3009</c:v>
                </c:pt>
                <c:pt idx="15">
                  <c:v>3140</c:v>
                </c:pt>
                <c:pt idx="16">
                  <c:v>3276</c:v>
                </c:pt>
                <c:pt idx="17">
                  <c:v>3418</c:v>
                </c:pt>
                <c:pt idx="18">
                  <c:v>3565</c:v>
                </c:pt>
                <c:pt idx="19">
                  <c:v>3717</c:v>
                </c:pt>
                <c:pt idx="20">
                  <c:v>3876</c:v>
                </c:pt>
                <c:pt idx="21">
                  <c:v>4041</c:v>
                </c:pt>
                <c:pt idx="22">
                  <c:v>4213</c:v>
                </c:pt>
                <c:pt idx="23">
                  <c:v>4391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FB-48E8-B334-545A09456DCF}"/>
            </c:ext>
          </c:extLst>
        </c:ser>
        <c:ser>
          <c:idx val="1"/>
          <c:order val="1"/>
          <c:tx>
            <c:strRef>
              <c:f>evasion!$C$1</c:f>
              <c:strCache>
                <c:ptCount val="1"/>
                <c:pt idx="0">
                  <c:v>近似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evasion!$A$57:$A$80</c:f>
              <c:numCache>
                <c:formatCode>General</c:formatCode>
                <c:ptCount val="24"/>
                <c:pt idx="0">
                  <c:v>56</c:v>
                </c:pt>
                <c:pt idx="1">
                  <c:v>57</c:v>
                </c:pt>
                <c:pt idx="2">
                  <c:v>58</c:v>
                </c:pt>
                <c:pt idx="3">
                  <c:v>59</c:v>
                </c:pt>
                <c:pt idx="4">
                  <c:v>60</c:v>
                </c:pt>
                <c:pt idx="5">
                  <c:v>61</c:v>
                </c:pt>
                <c:pt idx="6">
                  <c:v>62</c:v>
                </c:pt>
                <c:pt idx="7">
                  <c:v>63</c:v>
                </c:pt>
                <c:pt idx="8">
                  <c:v>64</c:v>
                </c:pt>
                <c:pt idx="9">
                  <c:v>65</c:v>
                </c:pt>
                <c:pt idx="10">
                  <c:v>66</c:v>
                </c:pt>
                <c:pt idx="11">
                  <c:v>67</c:v>
                </c:pt>
                <c:pt idx="12">
                  <c:v>68</c:v>
                </c:pt>
                <c:pt idx="13">
                  <c:v>69</c:v>
                </c:pt>
                <c:pt idx="14">
                  <c:v>70</c:v>
                </c:pt>
                <c:pt idx="15">
                  <c:v>71</c:v>
                </c:pt>
                <c:pt idx="16">
                  <c:v>72</c:v>
                </c:pt>
                <c:pt idx="17">
                  <c:v>73</c:v>
                </c:pt>
                <c:pt idx="18">
                  <c:v>74</c:v>
                </c:pt>
                <c:pt idx="19">
                  <c:v>75</c:v>
                </c:pt>
                <c:pt idx="20">
                  <c:v>76</c:v>
                </c:pt>
                <c:pt idx="21">
                  <c:v>77</c:v>
                </c:pt>
                <c:pt idx="22">
                  <c:v>78</c:v>
                </c:pt>
                <c:pt idx="23">
                  <c:v>79</c:v>
                </c:pt>
              </c:numCache>
            </c:numRef>
          </c:xVal>
          <c:yVal>
            <c:numRef>
              <c:f>evasion!$C$57:$C$80</c:f>
              <c:numCache>
                <c:formatCode>General</c:formatCode>
                <c:ptCount val="24"/>
                <c:pt idx="0">
                  <c:v>1666</c:v>
                </c:pt>
                <c:pt idx="1">
                  <c:v>1759</c:v>
                </c:pt>
                <c:pt idx="2">
                  <c:v>1854</c:v>
                </c:pt>
                <c:pt idx="3">
                  <c:v>1951</c:v>
                </c:pt>
                <c:pt idx="4">
                  <c:v>2050</c:v>
                </c:pt>
                <c:pt idx="5">
                  <c:v>2151</c:v>
                </c:pt>
                <c:pt idx="6">
                  <c:v>2254</c:v>
                </c:pt>
                <c:pt idx="7">
                  <c:v>2359</c:v>
                </c:pt>
                <c:pt idx="8">
                  <c:v>2466</c:v>
                </c:pt>
                <c:pt idx="9">
                  <c:v>2575</c:v>
                </c:pt>
                <c:pt idx="10">
                  <c:v>2686</c:v>
                </c:pt>
                <c:pt idx="11">
                  <c:v>2799</c:v>
                </c:pt>
                <c:pt idx="12">
                  <c:v>2914</c:v>
                </c:pt>
                <c:pt idx="13">
                  <c:v>3031</c:v>
                </c:pt>
                <c:pt idx="14">
                  <c:v>3150</c:v>
                </c:pt>
                <c:pt idx="15">
                  <c:v>3271</c:v>
                </c:pt>
                <c:pt idx="16">
                  <c:v>3394</c:v>
                </c:pt>
                <c:pt idx="17">
                  <c:v>3519</c:v>
                </c:pt>
                <c:pt idx="18">
                  <c:v>3646</c:v>
                </c:pt>
                <c:pt idx="19">
                  <c:v>3775</c:v>
                </c:pt>
                <c:pt idx="20">
                  <c:v>3906</c:v>
                </c:pt>
                <c:pt idx="21">
                  <c:v>4039</c:v>
                </c:pt>
                <c:pt idx="22">
                  <c:v>4174</c:v>
                </c:pt>
                <c:pt idx="23">
                  <c:v>4311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FB-48E8-B334-545A09456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829408"/>
        <c:axId val="539824816"/>
      </c:scatterChart>
      <c:valAx>
        <c:axId val="539829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9824816"/>
        <c:crosses val="autoZero"/>
        <c:crossBetween val="midCat"/>
      </c:valAx>
      <c:valAx>
        <c:axId val="53982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9829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15408</xdr:colOff>
      <xdr:row>18</xdr:row>
      <xdr:rowOff>128308</xdr:rowOff>
    </xdr:from>
    <xdr:to>
      <xdr:col>12</xdr:col>
      <xdr:colOff>470367</xdr:colOff>
      <xdr:row>30</xdr:row>
      <xdr:rowOff>14007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20F0F8E7-DA4B-4486-98B9-F10B4559A3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585787</xdr:colOff>
      <xdr:row>0</xdr:row>
      <xdr:rowOff>0</xdr:rowOff>
    </xdr:from>
    <xdr:to>
      <xdr:col>14</xdr:col>
      <xdr:colOff>357187</xdr:colOff>
      <xdr:row>11</xdr:row>
      <xdr:rowOff>123825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A71357A-4609-4ECA-AC71-D3774FE7A8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190502</xdr:colOff>
      <xdr:row>44</xdr:row>
      <xdr:rowOff>11768</xdr:rowOff>
    </xdr:from>
    <xdr:to>
      <xdr:col>9</xdr:col>
      <xdr:colOff>645461</xdr:colOff>
      <xdr:row>55</xdr:row>
      <xdr:rowOff>132791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D76B4D94-D381-4EB6-8AAC-513E63D55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585787</xdr:colOff>
      <xdr:row>0</xdr:row>
      <xdr:rowOff>0</xdr:rowOff>
    </xdr:from>
    <xdr:to>
      <xdr:col>14</xdr:col>
      <xdr:colOff>357187</xdr:colOff>
      <xdr:row>11</xdr:row>
      <xdr:rowOff>123825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4A8D6E9-4DDB-421C-8F7D-370D8B8AA6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33618</xdr:colOff>
      <xdr:row>39</xdr:row>
      <xdr:rowOff>560</xdr:rowOff>
    </xdr:from>
    <xdr:to>
      <xdr:col>9</xdr:col>
      <xdr:colOff>488577</xdr:colOff>
      <xdr:row>50</xdr:row>
      <xdr:rowOff>121584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B16CCFC0-611B-4E91-A115-73D8876569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585787</xdr:colOff>
      <xdr:row>0</xdr:row>
      <xdr:rowOff>0</xdr:rowOff>
    </xdr:from>
    <xdr:to>
      <xdr:col>14</xdr:col>
      <xdr:colOff>357187</xdr:colOff>
      <xdr:row>11</xdr:row>
      <xdr:rowOff>123825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9B7B516E-E9FB-467E-B556-DF6C364BD5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38100</xdr:colOff>
      <xdr:row>38</xdr:row>
      <xdr:rowOff>28575</xdr:rowOff>
    </xdr:from>
    <xdr:to>
      <xdr:col>9</xdr:col>
      <xdr:colOff>495300</xdr:colOff>
      <xdr:row>49</xdr:row>
      <xdr:rowOff>152400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246B0E76-34AE-4A3A-9873-260621DA04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585787</xdr:colOff>
      <xdr:row>0</xdr:row>
      <xdr:rowOff>0</xdr:rowOff>
    </xdr:from>
    <xdr:to>
      <xdr:col>14</xdr:col>
      <xdr:colOff>357187</xdr:colOff>
      <xdr:row>11</xdr:row>
      <xdr:rowOff>123825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9F314B8-A759-4163-AFF5-37E21A527F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571500</xdr:colOff>
      <xdr:row>52</xdr:row>
      <xdr:rowOff>123825</xdr:rowOff>
    </xdr:from>
    <xdr:to>
      <xdr:col>12</xdr:col>
      <xdr:colOff>342900</xdr:colOff>
      <xdr:row>64</xdr:row>
      <xdr:rowOff>9525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9616E0B3-7371-4AE6-9B5A-2A0316A259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9774C-DC57-4228-96B8-A854A655607D}">
  <sheetPr codeName="Sheet1"/>
  <dimension ref="A1:AE31"/>
  <sheetViews>
    <sheetView workbookViewId="0">
      <selection activeCell="X12" sqref="X12"/>
    </sheetView>
  </sheetViews>
  <sheetFormatPr defaultColWidth="4.375" defaultRowHeight="18.75" x14ac:dyDescent="0.4"/>
  <cols>
    <col min="1" max="1" width="3.5" bestFit="1" customWidth="1"/>
    <col min="2" max="31" width="4.625" customWidth="1"/>
  </cols>
  <sheetData>
    <row r="1" spans="1:31" ht="19.5" thickBot="1" x14ac:dyDescent="0.45">
      <c r="A1" s="1">
        <v>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2">
        <v>29</v>
      </c>
      <c r="AE1" s="2">
        <v>30</v>
      </c>
    </row>
    <row r="2" spans="1:31" x14ac:dyDescent="0.4">
      <c r="A2">
        <v>1</v>
      </c>
      <c r="B2">
        <f t="shared" ref="B2:Q17" si="0">(B$1+$A2)/B$1</f>
        <v>2</v>
      </c>
      <c r="C2">
        <f t="shared" si="0"/>
        <v>1.5</v>
      </c>
      <c r="D2">
        <f t="shared" si="0"/>
        <v>1.3333333333333333</v>
      </c>
      <c r="E2">
        <f t="shared" si="0"/>
        <v>1.25</v>
      </c>
      <c r="F2">
        <f t="shared" si="0"/>
        <v>1.2</v>
      </c>
      <c r="G2">
        <f t="shared" si="0"/>
        <v>1.1666666666666667</v>
      </c>
      <c r="H2">
        <f t="shared" si="0"/>
        <v>1.1428571428571428</v>
      </c>
      <c r="I2">
        <f t="shared" si="0"/>
        <v>1.125</v>
      </c>
      <c r="J2">
        <f t="shared" si="0"/>
        <v>1.1111111111111112</v>
      </c>
      <c r="K2">
        <f t="shared" si="0"/>
        <v>1.1000000000000001</v>
      </c>
      <c r="L2">
        <f t="shared" si="0"/>
        <v>1.0909090909090908</v>
      </c>
      <c r="M2">
        <f t="shared" ref="M2:M17" si="1">(M$1+$A2)/M$1</f>
        <v>1.0833333333333333</v>
      </c>
      <c r="N2">
        <f t="shared" si="0"/>
        <v>1.0769230769230769</v>
      </c>
      <c r="O2">
        <f t="shared" si="0"/>
        <v>1.0714285714285714</v>
      </c>
      <c r="P2">
        <f t="shared" si="0"/>
        <v>1.0666666666666667</v>
      </c>
      <c r="Q2">
        <f t="shared" si="0"/>
        <v>1.0625</v>
      </c>
      <c r="R2">
        <f t="shared" ref="N2:AE14" si="2">(R$1+$A2)/R$1</f>
        <v>1.0588235294117647</v>
      </c>
      <c r="S2">
        <f t="shared" si="2"/>
        <v>1.0555555555555556</v>
      </c>
      <c r="T2">
        <f t="shared" si="2"/>
        <v>1.0526315789473684</v>
      </c>
      <c r="U2">
        <f t="shared" si="2"/>
        <v>1.05</v>
      </c>
      <c r="V2" s="2">
        <f t="shared" si="2"/>
        <v>1.0476190476190477</v>
      </c>
      <c r="W2" s="2">
        <f t="shared" si="2"/>
        <v>1.0454545454545454</v>
      </c>
      <c r="X2" s="2">
        <f t="shared" si="2"/>
        <v>1.0434782608695652</v>
      </c>
      <c r="Y2" s="2">
        <f t="shared" si="2"/>
        <v>1.0416666666666667</v>
      </c>
      <c r="Z2" s="2">
        <f t="shared" si="2"/>
        <v>1.04</v>
      </c>
      <c r="AA2" s="2">
        <f t="shared" si="2"/>
        <v>1.0384615384615385</v>
      </c>
      <c r="AB2" s="2">
        <f t="shared" si="2"/>
        <v>1.037037037037037</v>
      </c>
      <c r="AC2" s="2">
        <f t="shared" si="2"/>
        <v>1.0357142857142858</v>
      </c>
      <c r="AD2" s="2">
        <f t="shared" si="2"/>
        <v>1.0344827586206897</v>
      </c>
      <c r="AE2" s="2">
        <f t="shared" si="2"/>
        <v>1.0333333333333334</v>
      </c>
    </row>
    <row r="3" spans="1:31" x14ac:dyDescent="0.4">
      <c r="A3">
        <v>2</v>
      </c>
      <c r="B3">
        <f t="shared" si="0"/>
        <v>3</v>
      </c>
      <c r="C3">
        <f t="shared" si="0"/>
        <v>2</v>
      </c>
      <c r="D3">
        <f t="shared" si="0"/>
        <v>1.6666666666666667</v>
      </c>
      <c r="E3">
        <f t="shared" si="0"/>
        <v>1.5</v>
      </c>
      <c r="F3">
        <f t="shared" si="0"/>
        <v>1.4</v>
      </c>
      <c r="G3">
        <f t="shared" si="0"/>
        <v>1.3333333333333333</v>
      </c>
      <c r="H3">
        <f t="shared" si="0"/>
        <v>1.2857142857142858</v>
      </c>
      <c r="I3">
        <f t="shared" si="0"/>
        <v>1.25</v>
      </c>
      <c r="J3">
        <f t="shared" si="0"/>
        <v>1.2222222222222223</v>
      </c>
      <c r="K3">
        <f t="shared" si="0"/>
        <v>1.2</v>
      </c>
      <c r="L3">
        <f t="shared" si="0"/>
        <v>1.1818181818181819</v>
      </c>
      <c r="M3">
        <f t="shared" si="1"/>
        <v>1.1666666666666667</v>
      </c>
      <c r="N3">
        <f t="shared" si="2"/>
        <v>1.1538461538461537</v>
      </c>
      <c r="O3">
        <f t="shared" si="2"/>
        <v>1.1428571428571428</v>
      </c>
      <c r="P3">
        <f t="shared" si="2"/>
        <v>1.1333333333333333</v>
      </c>
      <c r="Q3">
        <f t="shared" si="2"/>
        <v>1.125</v>
      </c>
      <c r="R3">
        <f t="shared" si="2"/>
        <v>1.1176470588235294</v>
      </c>
      <c r="S3">
        <f t="shared" si="2"/>
        <v>1.1111111111111112</v>
      </c>
      <c r="T3">
        <f t="shared" si="2"/>
        <v>1.1052631578947369</v>
      </c>
      <c r="U3">
        <f t="shared" si="2"/>
        <v>1.1000000000000001</v>
      </c>
      <c r="V3" s="2">
        <f t="shared" si="2"/>
        <v>1.0952380952380953</v>
      </c>
      <c r="W3" s="2">
        <f t="shared" si="2"/>
        <v>1.0909090909090908</v>
      </c>
      <c r="X3" s="2">
        <f t="shared" si="2"/>
        <v>1.0869565217391304</v>
      </c>
      <c r="Y3" s="2">
        <f t="shared" si="2"/>
        <v>1.0833333333333333</v>
      </c>
      <c r="Z3" s="2">
        <f t="shared" si="2"/>
        <v>1.08</v>
      </c>
      <c r="AA3" s="2">
        <f t="shared" si="2"/>
        <v>1.0769230769230769</v>
      </c>
      <c r="AB3" s="2">
        <f t="shared" si="2"/>
        <v>1.0740740740740742</v>
      </c>
      <c r="AC3" s="2">
        <f t="shared" si="2"/>
        <v>1.0714285714285714</v>
      </c>
      <c r="AD3" s="2">
        <f t="shared" si="2"/>
        <v>1.0689655172413792</v>
      </c>
      <c r="AE3" s="2">
        <f t="shared" si="2"/>
        <v>1.0666666666666667</v>
      </c>
    </row>
    <row r="4" spans="1:31" x14ac:dyDescent="0.4">
      <c r="A4">
        <v>3</v>
      </c>
      <c r="B4">
        <f t="shared" si="0"/>
        <v>4</v>
      </c>
      <c r="C4">
        <f t="shared" si="0"/>
        <v>2.5</v>
      </c>
      <c r="D4">
        <f t="shared" si="0"/>
        <v>2</v>
      </c>
      <c r="E4">
        <f t="shared" si="0"/>
        <v>1.75</v>
      </c>
      <c r="F4">
        <f t="shared" si="0"/>
        <v>1.6</v>
      </c>
      <c r="G4">
        <f t="shared" si="0"/>
        <v>1.5</v>
      </c>
      <c r="H4">
        <f t="shared" si="0"/>
        <v>1.4285714285714286</v>
      </c>
      <c r="I4">
        <f t="shared" si="0"/>
        <v>1.375</v>
      </c>
      <c r="J4">
        <f t="shared" si="0"/>
        <v>1.3333333333333333</v>
      </c>
      <c r="K4">
        <f t="shared" si="0"/>
        <v>1.3</v>
      </c>
      <c r="L4">
        <f t="shared" si="0"/>
        <v>1.2727272727272727</v>
      </c>
      <c r="M4">
        <f t="shared" si="1"/>
        <v>1.25</v>
      </c>
      <c r="N4">
        <f t="shared" si="2"/>
        <v>1.2307692307692308</v>
      </c>
      <c r="O4">
        <f t="shared" si="2"/>
        <v>1.2142857142857142</v>
      </c>
      <c r="P4">
        <f t="shared" si="2"/>
        <v>1.2</v>
      </c>
      <c r="Q4">
        <f t="shared" si="2"/>
        <v>1.1875</v>
      </c>
      <c r="R4">
        <f t="shared" si="2"/>
        <v>1.1764705882352942</v>
      </c>
      <c r="S4">
        <f t="shared" si="2"/>
        <v>1.1666666666666667</v>
      </c>
      <c r="T4">
        <f t="shared" si="2"/>
        <v>1.1578947368421053</v>
      </c>
      <c r="U4">
        <f t="shared" si="2"/>
        <v>1.1499999999999999</v>
      </c>
      <c r="V4" s="2">
        <f t="shared" si="2"/>
        <v>1.1428571428571428</v>
      </c>
      <c r="W4" s="2">
        <f t="shared" si="2"/>
        <v>1.1363636363636365</v>
      </c>
      <c r="X4" s="2">
        <f t="shared" si="2"/>
        <v>1.1304347826086956</v>
      </c>
      <c r="Y4" s="2">
        <f t="shared" si="2"/>
        <v>1.125</v>
      </c>
      <c r="Z4" s="2">
        <f t="shared" si="2"/>
        <v>1.1200000000000001</v>
      </c>
      <c r="AA4" s="2">
        <f t="shared" si="2"/>
        <v>1.1153846153846154</v>
      </c>
      <c r="AB4" s="2">
        <f t="shared" si="2"/>
        <v>1.1111111111111112</v>
      </c>
      <c r="AC4" s="2">
        <f t="shared" si="2"/>
        <v>1.1071428571428572</v>
      </c>
      <c r="AD4" s="2">
        <f t="shared" si="2"/>
        <v>1.103448275862069</v>
      </c>
      <c r="AE4" s="2">
        <f t="shared" si="2"/>
        <v>1.1000000000000001</v>
      </c>
    </row>
    <row r="5" spans="1:31" x14ac:dyDescent="0.4">
      <c r="A5">
        <v>4</v>
      </c>
      <c r="B5">
        <f t="shared" si="0"/>
        <v>5</v>
      </c>
      <c r="C5">
        <f t="shared" si="0"/>
        <v>3</v>
      </c>
      <c r="D5">
        <f t="shared" si="0"/>
        <v>2.3333333333333335</v>
      </c>
      <c r="E5">
        <f t="shared" si="0"/>
        <v>2</v>
      </c>
      <c r="F5">
        <f t="shared" si="0"/>
        <v>1.8</v>
      </c>
      <c r="G5">
        <f t="shared" si="0"/>
        <v>1.6666666666666667</v>
      </c>
      <c r="H5">
        <f t="shared" si="0"/>
        <v>1.5714285714285714</v>
      </c>
      <c r="I5">
        <f t="shared" si="0"/>
        <v>1.5</v>
      </c>
      <c r="J5">
        <f t="shared" si="0"/>
        <v>1.4444444444444444</v>
      </c>
      <c r="K5">
        <f t="shared" si="0"/>
        <v>1.4</v>
      </c>
      <c r="L5">
        <f t="shared" si="0"/>
        <v>1.3636363636363635</v>
      </c>
      <c r="M5">
        <f t="shared" si="1"/>
        <v>1.3333333333333333</v>
      </c>
      <c r="N5">
        <f t="shared" si="2"/>
        <v>1.3076923076923077</v>
      </c>
      <c r="O5">
        <f t="shared" si="2"/>
        <v>1.2857142857142858</v>
      </c>
      <c r="P5">
        <f t="shared" si="2"/>
        <v>1.2666666666666666</v>
      </c>
      <c r="Q5">
        <f t="shared" si="2"/>
        <v>1.25</v>
      </c>
      <c r="R5">
        <f t="shared" si="2"/>
        <v>1.2352941176470589</v>
      </c>
      <c r="S5">
        <f t="shared" si="2"/>
        <v>1.2222222222222223</v>
      </c>
      <c r="T5">
        <f t="shared" si="2"/>
        <v>1.2105263157894737</v>
      </c>
      <c r="U5">
        <f t="shared" si="2"/>
        <v>1.2</v>
      </c>
      <c r="V5" s="2">
        <f t="shared" si="2"/>
        <v>1.1904761904761905</v>
      </c>
      <c r="W5" s="2">
        <f t="shared" si="2"/>
        <v>1.1818181818181819</v>
      </c>
      <c r="X5" s="2">
        <f t="shared" si="2"/>
        <v>1.173913043478261</v>
      </c>
      <c r="Y5" s="2">
        <f t="shared" si="2"/>
        <v>1.1666666666666667</v>
      </c>
      <c r="Z5" s="2">
        <f t="shared" si="2"/>
        <v>1.1599999999999999</v>
      </c>
      <c r="AA5" s="2">
        <f t="shared" si="2"/>
        <v>1.1538461538461537</v>
      </c>
      <c r="AB5" s="2">
        <f t="shared" si="2"/>
        <v>1.1481481481481481</v>
      </c>
      <c r="AC5" s="2">
        <f t="shared" si="2"/>
        <v>1.1428571428571428</v>
      </c>
      <c r="AD5" s="2">
        <f t="shared" si="2"/>
        <v>1.1379310344827587</v>
      </c>
      <c r="AE5" s="2">
        <f t="shared" si="2"/>
        <v>1.1333333333333333</v>
      </c>
    </row>
    <row r="6" spans="1:31" x14ac:dyDescent="0.4">
      <c r="A6">
        <v>5</v>
      </c>
      <c r="B6">
        <f t="shared" si="0"/>
        <v>6</v>
      </c>
      <c r="C6">
        <f t="shared" si="0"/>
        <v>3.5</v>
      </c>
      <c r="D6">
        <f t="shared" si="0"/>
        <v>2.6666666666666665</v>
      </c>
      <c r="E6">
        <f t="shared" si="0"/>
        <v>2.25</v>
      </c>
      <c r="F6">
        <f t="shared" si="0"/>
        <v>2</v>
      </c>
      <c r="G6">
        <f t="shared" si="0"/>
        <v>1.8333333333333333</v>
      </c>
      <c r="H6">
        <f t="shared" si="0"/>
        <v>1.7142857142857142</v>
      </c>
      <c r="I6">
        <f t="shared" si="0"/>
        <v>1.625</v>
      </c>
      <c r="J6">
        <f t="shared" si="0"/>
        <v>1.5555555555555556</v>
      </c>
      <c r="K6">
        <f t="shared" si="0"/>
        <v>1.5</v>
      </c>
      <c r="L6">
        <f t="shared" si="0"/>
        <v>1.4545454545454546</v>
      </c>
      <c r="M6">
        <f t="shared" si="1"/>
        <v>1.4166666666666667</v>
      </c>
      <c r="N6">
        <f t="shared" si="2"/>
        <v>1.3846153846153846</v>
      </c>
      <c r="O6">
        <f t="shared" si="2"/>
        <v>1.3571428571428572</v>
      </c>
      <c r="P6">
        <f t="shared" si="2"/>
        <v>1.3333333333333333</v>
      </c>
      <c r="Q6">
        <f t="shared" si="2"/>
        <v>1.3125</v>
      </c>
      <c r="R6">
        <f t="shared" si="2"/>
        <v>1.2941176470588236</v>
      </c>
      <c r="S6">
        <f t="shared" si="2"/>
        <v>1.2777777777777777</v>
      </c>
      <c r="T6">
        <f t="shared" si="2"/>
        <v>1.263157894736842</v>
      </c>
      <c r="U6">
        <f t="shared" si="2"/>
        <v>1.25</v>
      </c>
      <c r="V6" s="2">
        <f t="shared" si="2"/>
        <v>1.2380952380952381</v>
      </c>
      <c r="W6" s="2">
        <f t="shared" si="2"/>
        <v>1.2272727272727273</v>
      </c>
      <c r="X6" s="2">
        <f t="shared" si="2"/>
        <v>1.2173913043478262</v>
      </c>
      <c r="Y6" s="2">
        <f t="shared" si="2"/>
        <v>1.2083333333333333</v>
      </c>
      <c r="Z6" s="2">
        <f t="shared" si="2"/>
        <v>1.2</v>
      </c>
      <c r="AA6" s="2">
        <f t="shared" si="2"/>
        <v>1.1923076923076923</v>
      </c>
      <c r="AB6" s="2">
        <f t="shared" si="2"/>
        <v>1.1851851851851851</v>
      </c>
      <c r="AC6" s="2">
        <f t="shared" si="2"/>
        <v>1.1785714285714286</v>
      </c>
      <c r="AD6" s="2">
        <f t="shared" si="2"/>
        <v>1.1724137931034482</v>
      </c>
      <c r="AE6" s="2">
        <f t="shared" si="2"/>
        <v>1.1666666666666667</v>
      </c>
    </row>
    <row r="7" spans="1:31" x14ac:dyDescent="0.4">
      <c r="A7">
        <v>6</v>
      </c>
      <c r="B7">
        <f t="shared" si="0"/>
        <v>7</v>
      </c>
      <c r="C7">
        <f t="shared" si="0"/>
        <v>4</v>
      </c>
      <c r="D7">
        <f t="shared" si="0"/>
        <v>3</v>
      </c>
      <c r="E7">
        <f t="shared" si="0"/>
        <v>2.5</v>
      </c>
      <c r="F7">
        <f t="shared" si="0"/>
        <v>2.2000000000000002</v>
      </c>
      <c r="G7">
        <f t="shared" si="0"/>
        <v>2</v>
      </c>
      <c r="H7">
        <f t="shared" si="0"/>
        <v>1.8571428571428572</v>
      </c>
      <c r="I7">
        <f t="shared" si="0"/>
        <v>1.75</v>
      </c>
      <c r="J7">
        <f t="shared" si="0"/>
        <v>1.6666666666666667</v>
      </c>
      <c r="K7">
        <f t="shared" si="0"/>
        <v>1.6</v>
      </c>
      <c r="L7">
        <f t="shared" si="0"/>
        <v>1.5454545454545454</v>
      </c>
      <c r="M7">
        <f t="shared" si="1"/>
        <v>1.5</v>
      </c>
      <c r="N7">
        <f t="shared" si="2"/>
        <v>1.4615384615384615</v>
      </c>
      <c r="O7">
        <f t="shared" si="2"/>
        <v>1.4285714285714286</v>
      </c>
      <c r="P7">
        <f t="shared" si="2"/>
        <v>1.4</v>
      </c>
      <c r="Q7">
        <f t="shared" si="2"/>
        <v>1.375</v>
      </c>
      <c r="R7">
        <f t="shared" si="2"/>
        <v>1.3529411764705883</v>
      </c>
      <c r="S7">
        <f t="shared" si="2"/>
        <v>1.3333333333333333</v>
      </c>
      <c r="T7">
        <f t="shared" si="2"/>
        <v>1.3157894736842106</v>
      </c>
      <c r="U7">
        <f t="shared" si="2"/>
        <v>1.3</v>
      </c>
      <c r="V7" s="2">
        <f t="shared" si="2"/>
        <v>1.2857142857142858</v>
      </c>
      <c r="W7" s="2">
        <f t="shared" si="2"/>
        <v>1.2727272727272727</v>
      </c>
      <c r="X7" s="2">
        <f t="shared" si="2"/>
        <v>1.2608695652173914</v>
      </c>
      <c r="Y7" s="2">
        <f t="shared" si="2"/>
        <v>1.25</v>
      </c>
      <c r="Z7" s="2">
        <f t="shared" si="2"/>
        <v>1.24</v>
      </c>
      <c r="AA7" s="2">
        <f t="shared" si="2"/>
        <v>1.2307692307692308</v>
      </c>
      <c r="AB7" s="2">
        <f t="shared" si="2"/>
        <v>1.2222222222222223</v>
      </c>
      <c r="AC7" s="2">
        <f t="shared" si="2"/>
        <v>1.2142857142857142</v>
      </c>
      <c r="AD7" s="2">
        <f t="shared" si="2"/>
        <v>1.2068965517241379</v>
      </c>
      <c r="AE7" s="2">
        <f t="shared" si="2"/>
        <v>1.2</v>
      </c>
    </row>
    <row r="8" spans="1:31" x14ac:dyDescent="0.4">
      <c r="A8">
        <v>7</v>
      </c>
      <c r="B8">
        <f t="shared" si="0"/>
        <v>8</v>
      </c>
      <c r="C8">
        <f t="shared" si="0"/>
        <v>4.5</v>
      </c>
      <c r="D8">
        <f t="shared" si="0"/>
        <v>3.3333333333333335</v>
      </c>
      <c r="E8">
        <f t="shared" si="0"/>
        <v>2.75</v>
      </c>
      <c r="F8">
        <f t="shared" si="0"/>
        <v>2.4</v>
      </c>
      <c r="G8">
        <f t="shared" si="0"/>
        <v>2.1666666666666665</v>
      </c>
      <c r="H8">
        <f t="shared" si="0"/>
        <v>2</v>
      </c>
      <c r="I8">
        <f t="shared" si="0"/>
        <v>1.875</v>
      </c>
      <c r="J8">
        <f t="shared" si="0"/>
        <v>1.7777777777777777</v>
      </c>
      <c r="K8">
        <f t="shared" si="0"/>
        <v>1.7</v>
      </c>
      <c r="L8">
        <f t="shared" si="0"/>
        <v>1.6363636363636365</v>
      </c>
      <c r="M8">
        <f t="shared" si="1"/>
        <v>1.5833333333333333</v>
      </c>
      <c r="N8">
        <f t="shared" si="2"/>
        <v>1.5384615384615385</v>
      </c>
      <c r="O8">
        <f t="shared" si="2"/>
        <v>1.5</v>
      </c>
      <c r="P8">
        <f t="shared" si="2"/>
        <v>1.4666666666666666</v>
      </c>
      <c r="Q8">
        <f t="shared" si="2"/>
        <v>1.4375</v>
      </c>
      <c r="R8">
        <f t="shared" si="2"/>
        <v>1.411764705882353</v>
      </c>
      <c r="S8">
        <f t="shared" si="2"/>
        <v>1.3888888888888888</v>
      </c>
      <c r="T8">
        <f t="shared" si="2"/>
        <v>1.368421052631579</v>
      </c>
      <c r="U8">
        <f t="shared" si="2"/>
        <v>1.35</v>
      </c>
      <c r="V8" s="2">
        <f t="shared" si="2"/>
        <v>1.3333333333333333</v>
      </c>
      <c r="W8" s="2">
        <f t="shared" si="2"/>
        <v>1.3181818181818181</v>
      </c>
      <c r="X8" s="2">
        <f t="shared" si="2"/>
        <v>1.3043478260869565</v>
      </c>
      <c r="Y8" s="2">
        <f t="shared" si="2"/>
        <v>1.2916666666666667</v>
      </c>
      <c r="Z8" s="2">
        <f t="shared" si="2"/>
        <v>1.28</v>
      </c>
      <c r="AA8" s="2">
        <f t="shared" si="2"/>
        <v>1.2692307692307692</v>
      </c>
      <c r="AB8" s="2">
        <f t="shared" si="2"/>
        <v>1.2592592592592593</v>
      </c>
      <c r="AC8" s="2">
        <f t="shared" si="2"/>
        <v>1.25</v>
      </c>
      <c r="AD8" s="2">
        <f t="shared" si="2"/>
        <v>1.2413793103448276</v>
      </c>
      <c r="AE8" s="2">
        <f t="shared" si="2"/>
        <v>1.2333333333333334</v>
      </c>
    </row>
    <row r="9" spans="1:31" x14ac:dyDescent="0.4">
      <c r="A9">
        <v>8</v>
      </c>
      <c r="B9">
        <f t="shared" si="0"/>
        <v>9</v>
      </c>
      <c r="C9">
        <f t="shared" si="0"/>
        <v>5</v>
      </c>
      <c r="D9">
        <f t="shared" si="0"/>
        <v>3.6666666666666665</v>
      </c>
      <c r="E9">
        <f t="shared" si="0"/>
        <v>3</v>
      </c>
      <c r="F9">
        <f t="shared" si="0"/>
        <v>2.6</v>
      </c>
      <c r="G9">
        <f t="shared" si="0"/>
        <v>2.3333333333333335</v>
      </c>
      <c r="H9">
        <f t="shared" si="0"/>
        <v>2.1428571428571428</v>
      </c>
      <c r="I9">
        <f t="shared" si="0"/>
        <v>2</v>
      </c>
      <c r="J9">
        <f t="shared" si="0"/>
        <v>1.8888888888888888</v>
      </c>
      <c r="K9">
        <f t="shared" si="0"/>
        <v>1.8</v>
      </c>
      <c r="L9">
        <f t="shared" si="0"/>
        <v>1.7272727272727273</v>
      </c>
      <c r="M9">
        <f t="shared" si="1"/>
        <v>1.6666666666666667</v>
      </c>
      <c r="N9">
        <f t="shared" si="2"/>
        <v>1.6153846153846154</v>
      </c>
      <c r="O9">
        <f t="shared" si="2"/>
        <v>1.5714285714285714</v>
      </c>
      <c r="P9">
        <f t="shared" si="2"/>
        <v>1.5333333333333334</v>
      </c>
      <c r="Q9">
        <f t="shared" si="2"/>
        <v>1.5</v>
      </c>
      <c r="R9">
        <f t="shared" si="2"/>
        <v>1.4705882352941178</v>
      </c>
      <c r="S9">
        <f t="shared" si="2"/>
        <v>1.4444444444444444</v>
      </c>
      <c r="T9">
        <f t="shared" si="2"/>
        <v>1.4210526315789473</v>
      </c>
      <c r="U9">
        <f t="shared" si="2"/>
        <v>1.4</v>
      </c>
      <c r="V9" s="2">
        <f t="shared" si="2"/>
        <v>1.3809523809523809</v>
      </c>
      <c r="W9" s="2">
        <f t="shared" si="2"/>
        <v>1.3636363636363635</v>
      </c>
      <c r="X9" s="2">
        <f t="shared" si="2"/>
        <v>1.3478260869565217</v>
      </c>
      <c r="Y9" s="2">
        <f t="shared" si="2"/>
        <v>1.3333333333333333</v>
      </c>
      <c r="Z9" s="2">
        <f t="shared" si="2"/>
        <v>1.32</v>
      </c>
      <c r="AA9" s="2">
        <f t="shared" si="2"/>
        <v>1.3076923076923077</v>
      </c>
      <c r="AB9" s="2">
        <f t="shared" si="2"/>
        <v>1.2962962962962963</v>
      </c>
      <c r="AC9" s="2">
        <f t="shared" si="2"/>
        <v>1.2857142857142858</v>
      </c>
      <c r="AD9" s="2">
        <f t="shared" si="2"/>
        <v>1.2758620689655173</v>
      </c>
      <c r="AE9" s="2">
        <f t="shared" si="2"/>
        <v>1.2666666666666666</v>
      </c>
    </row>
    <row r="10" spans="1:31" x14ac:dyDescent="0.4">
      <c r="A10">
        <v>9</v>
      </c>
      <c r="B10">
        <f t="shared" si="0"/>
        <v>10</v>
      </c>
      <c r="C10">
        <f t="shared" si="0"/>
        <v>5.5</v>
      </c>
      <c r="D10">
        <f t="shared" si="0"/>
        <v>4</v>
      </c>
      <c r="E10">
        <f t="shared" si="0"/>
        <v>3.25</v>
      </c>
      <c r="F10">
        <f t="shared" si="0"/>
        <v>2.8</v>
      </c>
      <c r="G10">
        <f t="shared" si="0"/>
        <v>2.5</v>
      </c>
      <c r="H10">
        <f t="shared" si="0"/>
        <v>2.2857142857142856</v>
      </c>
      <c r="I10">
        <f t="shared" si="0"/>
        <v>2.125</v>
      </c>
      <c r="J10">
        <f t="shared" si="0"/>
        <v>2</v>
      </c>
      <c r="K10">
        <f t="shared" si="0"/>
        <v>1.9</v>
      </c>
      <c r="L10">
        <f t="shared" si="0"/>
        <v>1.8181818181818181</v>
      </c>
      <c r="M10">
        <f t="shared" si="1"/>
        <v>1.75</v>
      </c>
      <c r="N10">
        <f t="shared" si="2"/>
        <v>1.6923076923076923</v>
      </c>
      <c r="O10">
        <f t="shared" si="2"/>
        <v>1.6428571428571428</v>
      </c>
      <c r="P10">
        <f t="shared" si="2"/>
        <v>1.6</v>
      </c>
      <c r="Q10">
        <f t="shared" si="2"/>
        <v>1.5625</v>
      </c>
      <c r="R10">
        <f t="shared" si="2"/>
        <v>1.5294117647058822</v>
      </c>
      <c r="S10">
        <f t="shared" si="2"/>
        <v>1.5</v>
      </c>
      <c r="T10">
        <f t="shared" si="2"/>
        <v>1.4736842105263157</v>
      </c>
      <c r="U10">
        <f t="shared" si="2"/>
        <v>1.45</v>
      </c>
      <c r="V10" s="2">
        <f t="shared" si="2"/>
        <v>1.4285714285714286</v>
      </c>
      <c r="W10" s="2">
        <f t="shared" si="2"/>
        <v>1.4090909090909092</v>
      </c>
      <c r="X10" s="2">
        <f t="shared" si="2"/>
        <v>1.3913043478260869</v>
      </c>
      <c r="Y10" s="2">
        <f t="shared" si="2"/>
        <v>1.375</v>
      </c>
      <c r="Z10" s="2">
        <f t="shared" si="2"/>
        <v>1.36</v>
      </c>
      <c r="AA10" s="2">
        <f t="shared" si="2"/>
        <v>1.3461538461538463</v>
      </c>
      <c r="AB10" s="2">
        <f t="shared" si="2"/>
        <v>1.3333333333333333</v>
      </c>
      <c r="AC10" s="2">
        <f t="shared" si="2"/>
        <v>1.3214285714285714</v>
      </c>
      <c r="AD10" s="2">
        <f t="shared" si="2"/>
        <v>1.3103448275862069</v>
      </c>
      <c r="AE10" s="2">
        <f t="shared" si="2"/>
        <v>1.3</v>
      </c>
    </row>
    <row r="11" spans="1:31" x14ac:dyDescent="0.4">
      <c r="A11">
        <v>10</v>
      </c>
      <c r="B11">
        <f t="shared" si="0"/>
        <v>11</v>
      </c>
      <c r="C11">
        <f t="shared" si="0"/>
        <v>6</v>
      </c>
      <c r="D11">
        <f t="shared" si="0"/>
        <v>4.333333333333333</v>
      </c>
      <c r="E11">
        <f t="shared" si="0"/>
        <v>3.5</v>
      </c>
      <c r="F11">
        <f t="shared" si="0"/>
        <v>3</v>
      </c>
      <c r="G11">
        <f t="shared" si="0"/>
        <v>2.6666666666666665</v>
      </c>
      <c r="H11">
        <f t="shared" si="0"/>
        <v>2.4285714285714284</v>
      </c>
      <c r="I11">
        <f t="shared" si="0"/>
        <v>2.25</v>
      </c>
      <c r="J11">
        <f t="shared" si="0"/>
        <v>2.1111111111111112</v>
      </c>
      <c r="K11">
        <f t="shared" si="0"/>
        <v>2</v>
      </c>
      <c r="L11">
        <f t="shared" si="0"/>
        <v>1.9090909090909092</v>
      </c>
      <c r="M11">
        <f t="shared" si="1"/>
        <v>1.8333333333333333</v>
      </c>
      <c r="N11">
        <f t="shared" si="2"/>
        <v>1.7692307692307692</v>
      </c>
      <c r="O11">
        <f t="shared" si="2"/>
        <v>1.7142857142857142</v>
      </c>
      <c r="P11">
        <f t="shared" si="2"/>
        <v>1.6666666666666667</v>
      </c>
      <c r="Q11">
        <f t="shared" si="2"/>
        <v>1.625</v>
      </c>
      <c r="R11">
        <f t="shared" si="2"/>
        <v>1.588235294117647</v>
      </c>
      <c r="S11">
        <f t="shared" si="2"/>
        <v>1.5555555555555556</v>
      </c>
      <c r="T11">
        <f t="shared" si="2"/>
        <v>1.5263157894736843</v>
      </c>
      <c r="U11">
        <f t="shared" si="2"/>
        <v>1.5</v>
      </c>
      <c r="V11" s="2">
        <f t="shared" si="2"/>
        <v>1.4761904761904763</v>
      </c>
      <c r="W11" s="2">
        <f t="shared" si="2"/>
        <v>1.4545454545454546</v>
      </c>
      <c r="X11" s="2">
        <f t="shared" si="2"/>
        <v>1.4347826086956521</v>
      </c>
      <c r="Y11" s="2">
        <f t="shared" si="2"/>
        <v>1.4166666666666667</v>
      </c>
      <c r="Z11" s="2">
        <f t="shared" si="2"/>
        <v>1.4</v>
      </c>
      <c r="AA11" s="2">
        <f t="shared" si="2"/>
        <v>1.3846153846153846</v>
      </c>
      <c r="AB11" s="2">
        <f t="shared" si="2"/>
        <v>1.3703703703703705</v>
      </c>
      <c r="AC11" s="2">
        <f t="shared" si="2"/>
        <v>1.3571428571428572</v>
      </c>
      <c r="AD11" s="2">
        <f t="shared" si="2"/>
        <v>1.3448275862068966</v>
      </c>
      <c r="AE11" s="2">
        <f t="shared" si="2"/>
        <v>1.3333333333333333</v>
      </c>
    </row>
    <row r="12" spans="1:31" x14ac:dyDescent="0.4">
      <c r="A12">
        <v>11</v>
      </c>
      <c r="B12">
        <f t="shared" si="0"/>
        <v>12</v>
      </c>
      <c r="C12">
        <f t="shared" si="0"/>
        <v>6.5</v>
      </c>
      <c r="D12">
        <f t="shared" si="0"/>
        <v>4.666666666666667</v>
      </c>
      <c r="E12">
        <f t="shared" si="0"/>
        <v>3.75</v>
      </c>
      <c r="F12">
        <f t="shared" si="0"/>
        <v>3.2</v>
      </c>
      <c r="G12">
        <f t="shared" si="0"/>
        <v>2.8333333333333335</v>
      </c>
      <c r="H12">
        <f t="shared" si="0"/>
        <v>2.5714285714285716</v>
      </c>
      <c r="I12">
        <f t="shared" si="0"/>
        <v>2.375</v>
      </c>
      <c r="J12">
        <f t="shared" si="0"/>
        <v>2.2222222222222223</v>
      </c>
      <c r="K12">
        <f t="shared" si="0"/>
        <v>2.1</v>
      </c>
      <c r="L12">
        <f t="shared" si="0"/>
        <v>2</v>
      </c>
      <c r="M12">
        <f t="shared" si="1"/>
        <v>1.9166666666666667</v>
      </c>
      <c r="N12">
        <f t="shared" si="2"/>
        <v>1.8461538461538463</v>
      </c>
      <c r="O12">
        <f t="shared" si="2"/>
        <v>1.7857142857142858</v>
      </c>
      <c r="P12">
        <f t="shared" si="2"/>
        <v>1.7333333333333334</v>
      </c>
      <c r="Q12">
        <f t="shared" si="2"/>
        <v>1.6875</v>
      </c>
      <c r="R12">
        <f t="shared" si="2"/>
        <v>1.6470588235294117</v>
      </c>
      <c r="S12">
        <f t="shared" si="2"/>
        <v>1.6111111111111112</v>
      </c>
      <c r="T12">
        <f t="shared" si="2"/>
        <v>1.5789473684210527</v>
      </c>
      <c r="U12">
        <f t="shared" si="2"/>
        <v>1.55</v>
      </c>
      <c r="V12" s="2">
        <f t="shared" si="2"/>
        <v>1.5238095238095237</v>
      </c>
      <c r="W12" s="2">
        <f t="shared" si="2"/>
        <v>1.5</v>
      </c>
      <c r="X12" s="2">
        <f t="shared" si="2"/>
        <v>1.4782608695652173</v>
      </c>
      <c r="Y12" s="2">
        <f t="shared" si="2"/>
        <v>1.4583333333333333</v>
      </c>
      <c r="Z12" s="2">
        <f t="shared" si="2"/>
        <v>1.44</v>
      </c>
      <c r="AA12" s="2">
        <f t="shared" si="2"/>
        <v>1.4230769230769231</v>
      </c>
      <c r="AB12" s="2">
        <f t="shared" si="2"/>
        <v>1.4074074074074074</v>
      </c>
      <c r="AC12" s="2">
        <f t="shared" si="2"/>
        <v>1.3928571428571428</v>
      </c>
      <c r="AD12" s="2">
        <f t="shared" si="2"/>
        <v>1.3793103448275863</v>
      </c>
      <c r="AE12" s="2">
        <f t="shared" si="2"/>
        <v>1.3666666666666667</v>
      </c>
    </row>
    <row r="13" spans="1:31" x14ac:dyDescent="0.4">
      <c r="A13">
        <v>12</v>
      </c>
      <c r="B13">
        <f t="shared" si="0"/>
        <v>13</v>
      </c>
      <c r="C13">
        <f t="shared" si="0"/>
        <v>7</v>
      </c>
      <c r="D13">
        <f t="shared" si="0"/>
        <v>5</v>
      </c>
      <c r="E13">
        <f t="shared" si="0"/>
        <v>4</v>
      </c>
      <c r="F13">
        <f t="shared" si="0"/>
        <v>3.4</v>
      </c>
      <c r="G13">
        <f t="shared" si="0"/>
        <v>3</v>
      </c>
      <c r="H13">
        <f t="shared" si="0"/>
        <v>2.7142857142857144</v>
      </c>
      <c r="I13">
        <f t="shared" si="0"/>
        <v>2.5</v>
      </c>
      <c r="J13">
        <f t="shared" si="0"/>
        <v>2.3333333333333335</v>
      </c>
      <c r="K13">
        <f t="shared" si="0"/>
        <v>2.2000000000000002</v>
      </c>
      <c r="L13">
        <f t="shared" si="0"/>
        <v>2.0909090909090908</v>
      </c>
      <c r="M13">
        <f t="shared" si="1"/>
        <v>2</v>
      </c>
      <c r="N13">
        <f t="shared" si="2"/>
        <v>1.9230769230769231</v>
      </c>
      <c r="O13">
        <f t="shared" si="2"/>
        <v>1.8571428571428572</v>
      </c>
      <c r="P13">
        <f t="shared" si="2"/>
        <v>1.8</v>
      </c>
      <c r="Q13">
        <f t="shared" si="2"/>
        <v>1.75</v>
      </c>
      <c r="R13">
        <f t="shared" si="2"/>
        <v>1.7058823529411764</v>
      </c>
      <c r="S13">
        <f t="shared" si="2"/>
        <v>1.6666666666666667</v>
      </c>
      <c r="T13">
        <f t="shared" si="2"/>
        <v>1.631578947368421</v>
      </c>
      <c r="U13">
        <f t="shared" si="2"/>
        <v>1.6</v>
      </c>
      <c r="V13" s="2">
        <f t="shared" si="2"/>
        <v>1.5714285714285714</v>
      </c>
      <c r="W13" s="2">
        <f t="shared" si="2"/>
        <v>1.5454545454545454</v>
      </c>
      <c r="X13" s="2">
        <f t="shared" si="2"/>
        <v>1.5217391304347827</v>
      </c>
      <c r="Y13" s="2">
        <f t="shared" si="2"/>
        <v>1.5</v>
      </c>
      <c r="Z13" s="2">
        <f t="shared" si="2"/>
        <v>1.48</v>
      </c>
      <c r="AA13" s="2">
        <f t="shared" si="2"/>
        <v>1.4615384615384615</v>
      </c>
      <c r="AB13" s="2">
        <f t="shared" si="2"/>
        <v>1.4444444444444444</v>
      </c>
      <c r="AC13" s="2">
        <f t="shared" si="2"/>
        <v>1.4285714285714286</v>
      </c>
      <c r="AD13" s="2">
        <f t="shared" si="2"/>
        <v>1.4137931034482758</v>
      </c>
      <c r="AE13" s="2">
        <f t="shared" si="2"/>
        <v>1.4</v>
      </c>
    </row>
    <row r="14" spans="1:31" x14ac:dyDescent="0.4">
      <c r="A14">
        <v>13</v>
      </c>
      <c r="B14">
        <f t="shared" si="0"/>
        <v>14</v>
      </c>
      <c r="C14">
        <f t="shared" si="0"/>
        <v>7.5</v>
      </c>
      <c r="D14">
        <f t="shared" si="0"/>
        <v>5.333333333333333</v>
      </c>
      <c r="E14">
        <f t="shared" si="0"/>
        <v>4.25</v>
      </c>
      <c r="F14">
        <f t="shared" si="0"/>
        <v>3.6</v>
      </c>
      <c r="G14">
        <f t="shared" si="0"/>
        <v>3.1666666666666665</v>
      </c>
      <c r="H14">
        <f t="shared" si="0"/>
        <v>2.8571428571428572</v>
      </c>
      <c r="I14">
        <f t="shared" si="0"/>
        <v>2.625</v>
      </c>
      <c r="J14">
        <f t="shared" si="0"/>
        <v>2.4444444444444446</v>
      </c>
      <c r="K14">
        <f t="shared" si="0"/>
        <v>2.2999999999999998</v>
      </c>
      <c r="L14">
        <f t="shared" si="0"/>
        <v>2.1818181818181817</v>
      </c>
      <c r="M14">
        <f t="shared" si="1"/>
        <v>2.0833333333333335</v>
      </c>
      <c r="N14">
        <f t="shared" si="2"/>
        <v>2</v>
      </c>
      <c r="O14">
        <f t="shared" si="2"/>
        <v>1.9285714285714286</v>
      </c>
      <c r="P14">
        <f t="shared" si="2"/>
        <v>1.8666666666666667</v>
      </c>
      <c r="Q14">
        <f t="shared" si="2"/>
        <v>1.8125</v>
      </c>
      <c r="R14">
        <f t="shared" si="2"/>
        <v>1.7647058823529411</v>
      </c>
      <c r="S14">
        <f t="shared" si="2"/>
        <v>1.7222222222222223</v>
      </c>
      <c r="T14">
        <f t="shared" si="2"/>
        <v>1.6842105263157894</v>
      </c>
      <c r="U14">
        <f t="shared" ref="N14:AE26" si="3">(U$1+$A14)/U$1</f>
        <v>1.65</v>
      </c>
      <c r="V14" s="2">
        <f t="shared" si="3"/>
        <v>1.6190476190476191</v>
      </c>
      <c r="W14" s="2">
        <f t="shared" si="3"/>
        <v>1.5909090909090908</v>
      </c>
      <c r="X14" s="2">
        <f t="shared" si="3"/>
        <v>1.5652173913043479</v>
      </c>
      <c r="Y14" s="2">
        <f t="shared" si="3"/>
        <v>1.5416666666666667</v>
      </c>
      <c r="Z14" s="2">
        <f t="shared" si="3"/>
        <v>1.52</v>
      </c>
      <c r="AA14" s="2">
        <f t="shared" si="3"/>
        <v>1.5</v>
      </c>
      <c r="AB14" s="2">
        <f t="shared" si="3"/>
        <v>1.4814814814814814</v>
      </c>
      <c r="AC14" s="2">
        <f t="shared" si="3"/>
        <v>1.4642857142857142</v>
      </c>
      <c r="AD14" s="2">
        <f t="shared" si="3"/>
        <v>1.4482758620689655</v>
      </c>
      <c r="AE14" s="2">
        <f t="shared" si="3"/>
        <v>1.4333333333333333</v>
      </c>
    </row>
    <row r="15" spans="1:31" x14ac:dyDescent="0.4">
      <c r="A15">
        <v>14</v>
      </c>
      <c r="B15">
        <f t="shared" si="0"/>
        <v>15</v>
      </c>
      <c r="C15">
        <f t="shared" si="0"/>
        <v>8</v>
      </c>
      <c r="D15">
        <f t="shared" si="0"/>
        <v>5.666666666666667</v>
      </c>
      <c r="E15">
        <f t="shared" si="0"/>
        <v>4.5</v>
      </c>
      <c r="F15">
        <f t="shared" si="0"/>
        <v>3.8</v>
      </c>
      <c r="G15">
        <f t="shared" si="0"/>
        <v>3.3333333333333335</v>
      </c>
      <c r="H15">
        <f t="shared" si="0"/>
        <v>3</v>
      </c>
      <c r="I15">
        <f t="shared" si="0"/>
        <v>2.75</v>
      </c>
      <c r="J15">
        <f t="shared" si="0"/>
        <v>2.5555555555555554</v>
      </c>
      <c r="K15">
        <f t="shared" si="0"/>
        <v>2.4</v>
      </c>
      <c r="L15">
        <f t="shared" si="0"/>
        <v>2.2727272727272729</v>
      </c>
      <c r="M15">
        <f t="shared" si="1"/>
        <v>2.1666666666666665</v>
      </c>
      <c r="N15">
        <f t="shared" si="3"/>
        <v>2.0769230769230771</v>
      </c>
      <c r="O15">
        <f t="shared" si="3"/>
        <v>2</v>
      </c>
      <c r="P15">
        <f t="shared" si="3"/>
        <v>1.9333333333333333</v>
      </c>
      <c r="Q15">
        <f t="shared" si="3"/>
        <v>1.875</v>
      </c>
      <c r="R15">
        <f t="shared" si="3"/>
        <v>1.8235294117647058</v>
      </c>
      <c r="S15">
        <f t="shared" si="3"/>
        <v>1.7777777777777777</v>
      </c>
      <c r="T15">
        <f t="shared" si="3"/>
        <v>1.736842105263158</v>
      </c>
      <c r="U15">
        <f t="shared" si="3"/>
        <v>1.7</v>
      </c>
      <c r="V15" s="2">
        <f t="shared" si="3"/>
        <v>1.6666666666666667</v>
      </c>
      <c r="W15" s="2">
        <f t="shared" si="3"/>
        <v>1.6363636363636365</v>
      </c>
      <c r="X15" s="2">
        <f t="shared" si="3"/>
        <v>1.6086956521739131</v>
      </c>
      <c r="Y15" s="2">
        <f t="shared" si="3"/>
        <v>1.5833333333333333</v>
      </c>
      <c r="Z15" s="2">
        <f t="shared" si="3"/>
        <v>1.56</v>
      </c>
      <c r="AA15" s="2">
        <f t="shared" si="3"/>
        <v>1.5384615384615385</v>
      </c>
      <c r="AB15" s="2">
        <f t="shared" si="3"/>
        <v>1.5185185185185186</v>
      </c>
      <c r="AC15" s="2">
        <f t="shared" si="3"/>
        <v>1.5</v>
      </c>
      <c r="AD15" s="2">
        <f t="shared" si="3"/>
        <v>1.4827586206896552</v>
      </c>
      <c r="AE15" s="2">
        <f t="shared" si="3"/>
        <v>1.4666666666666666</v>
      </c>
    </row>
    <row r="16" spans="1:31" x14ac:dyDescent="0.4">
      <c r="A16">
        <v>15</v>
      </c>
      <c r="B16">
        <f t="shared" si="0"/>
        <v>16</v>
      </c>
      <c r="C16">
        <f t="shared" si="0"/>
        <v>8.5</v>
      </c>
      <c r="D16">
        <f t="shared" si="0"/>
        <v>6</v>
      </c>
      <c r="E16">
        <f t="shared" si="0"/>
        <v>4.75</v>
      </c>
      <c r="F16">
        <f t="shared" si="0"/>
        <v>4</v>
      </c>
      <c r="G16">
        <f t="shared" si="0"/>
        <v>3.5</v>
      </c>
      <c r="H16">
        <f t="shared" si="0"/>
        <v>3.1428571428571428</v>
      </c>
      <c r="I16">
        <f t="shared" si="0"/>
        <v>2.875</v>
      </c>
      <c r="J16">
        <f t="shared" si="0"/>
        <v>2.6666666666666665</v>
      </c>
      <c r="K16">
        <f t="shared" si="0"/>
        <v>2.5</v>
      </c>
      <c r="L16">
        <f t="shared" si="0"/>
        <v>2.3636363636363638</v>
      </c>
      <c r="M16">
        <f t="shared" si="1"/>
        <v>2.25</v>
      </c>
      <c r="N16">
        <f t="shared" si="3"/>
        <v>2.1538461538461537</v>
      </c>
      <c r="O16">
        <f t="shared" si="3"/>
        <v>2.0714285714285716</v>
      </c>
      <c r="P16">
        <f t="shared" si="3"/>
        <v>2</v>
      </c>
      <c r="Q16">
        <f t="shared" si="3"/>
        <v>1.9375</v>
      </c>
      <c r="R16">
        <f t="shared" si="3"/>
        <v>1.8823529411764706</v>
      </c>
      <c r="S16">
        <f t="shared" si="3"/>
        <v>1.8333333333333333</v>
      </c>
      <c r="T16">
        <f t="shared" si="3"/>
        <v>1.7894736842105263</v>
      </c>
      <c r="U16">
        <f t="shared" si="3"/>
        <v>1.75</v>
      </c>
      <c r="V16" s="2">
        <f t="shared" si="3"/>
        <v>1.7142857142857142</v>
      </c>
      <c r="W16" s="2">
        <f t="shared" si="3"/>
        <v>1.6818181818181819</v>
      </c>
      <c r="X16" s="2">
        <f t="shared" si="3"/>
        <v>1.6521739130434783</v>
      </c>
      <c r="Y16" s="2">
        <f t="shared" si="3"/>
        <v>1.625</v>
      </c>
      <c r="Z16" s="2">
        <f t="shared" si="3"/>
        <v>1.6</v>
      </c>
      <c r="AA16" s="2">
        <f t="shared" si="3"/>
        <v>1.5769230769230769</v>
      </c>
      <c r="AB16" s="2">
        <f t="shared" si="3"/>
        <v>1.5555555555555556</v>
      </c>
      <c r="AC16" s="2">
        <f t="shared" si="3"/>
        <v>1.5357142857142858</v>
      </c>
      <c r="AD16" s="2">
        <f t="shared" si="3"/>
        <v>1.5172413793103448</v>
      </c>
      <c r="AE16" s="2">
        <f t="shared" si="3"/>
        <v>1.5</v>
      </c>
    </row>
    <row r="17" spans="1:31" x14ac:dyDescent="0.4">
      <c r="A17">
        <v>16</v>
      </c>
      <c r="B17">
        <f t="shared" si="0"/>
        <v>17</v>
      </c>
      <c r="C17">
        <f t="shared" si="0"/>
        <v>9</v>
      </c>
      <c r="D17">
        <f t="shared" si="0"/>
        <v>6.333333333333333</v>
      </c>
      <c r="E17">
        <f t="shared" si="0"/>
        <v>5</v>
      </c>
      <c r="F17">
        <f t="shared" si="0"/>
        <v>4.2</v>
      </c>
      <c r="G17">
        <f t="shared" si="0"/>
        <v>3.6666666666666665</v>
      </c>
      <c r="H17">
        <f t="shared" si="0"/>
        <v>3.2857142857142856</v>
      </c>
      <c r="I17">
        <f t="shared" si="0"/>
        <v>3</v>
      </c>
      <c r="J17">
        <f t="shared" si="0"/>
        <v>2.7777777777777777</v>
      </c>
      <c r="K17">
        <f t="shared" si="0"/>
        <v>2.6</v>
      </c>
      <c r="L17">
        <f t="shared" si="0"/>
        <v>2.4545454545454546</v>
      </c>
      <c r="M17">
        <f t="shared" si="1"/>
        <v>2.3333333333333335</v>
      </c>
      <c r="N17">
        <f t="shared" si="3"/>
        <v>2.2307692307692308</v>
      </c>
      <c r="O17">
        <f t="shared" si="3"/>
        <v>2.1428571428571428</v>
      </c>
      <c r="P17">
        <f t="shared" si="3"/>
        <v>2.0666666666666669</v>
      </c>
      <c r="Q17">
        <f t="shared" si="3"/>
        <v>2</v>
      </c>
      <c r="R17">
        <f t="shared" si="3"/>
        <v>1.9411764705882353</v>
      </c>
      <c r="S17">
        <f t="shared" si="3"/>
        <v>1.8888888888888888</v>
      </c>
      <c r="T17">
        <f t="shared" si="3"/>
        <v>1.8421052631578947</v>
      </c>
      <c r="U17">
        <f t="shared" si="3"/>
        <v>1.8</v>
      </c>
      <c r="V17" s="2">
        <f t="shared" si="3"/>
        <v>1.7619047619047619</v>
      </c>
      <c r="W17" s="2">
        <f t="shared" si="3"/>
        <v>1.7272727272727273</v>
      </c>
      <c r="X17" s="2">
        <f t="shared" si="3"/>
        <v>1.6956521739130435</v>
      </c>
      <c r="Y17" s="2">
        <f t="shared" si="3"/>
        <v>1.6666666666666667</v>
      </c>
      <c r="Z17" s="2">
        <f t="shared" si="3"/>
        <v>1.64</v>
      </c>
      <c r="AA17" s="2">
        <f t="shared" si="3"/>
        <v>1.6153846153846154</v>
      </c>
      <c r="AB17" s="2">
        <f t="shared" si="3"/>
        <v>1.5925925925925926</v>
      </c>
      <c r="AC17" s="2">
        <f t="shared" si="3"/>
        <v>1.5714285714285714</v>
      </c>
      <c r="AD17" s="2">
        <f t="shared" si="3"/>
        <v>1.5517241379310345</v>
      </c>
      <c r="AE17" s="2">
        <f t="shared" si="3"/>
        <v>1.5333333333333334</v>
      </c>
    </row>
    <row r="18" spans="1:31" x14ac:dyDescent="0.4">
      <c r="A18">
        <v>17</v>
      </c>
      <c r="B18">
        <f t="shared" ref="B18:Q31" si="4">(B$1+$A18)/B$1</f>
        <v>18</v>
      </c>
      <c r="C18">
        <f t="shared" si="4"/>
        <v>9.5</v>
      </c>
      <c r="D18">
        <f t="shared" si="4"/>
        <v>6.666666666666667</v>
      </c>
      <c r="E18">
        <f t="shared" si="4"/>
        <v>5.25</v>
      </c>
      <c r="F18">
        <f t="shared" si="4"/>
        <v>4.4000000000000004</v>
      </c>
      <c r="G18">
        <f t="shared" si="4"/>
        <v>3.8333333333333335</v>
      </c>
      <c r="H18">
        <f t="shared" si="4"/>
        <v>3.4285714285714284</v>
      </c>
      <c r="I18">
        <f t="shared" si="4"/>
        <v>3.125</v>
      </c>
      <c r="J18">
        <f t="shared" si="4"/>
        <v>2.8888888888888888</v>
      </c>
      <c r="K18">
        <f t="shared" si="4"/>
        <v>2.7</v>
      </c>
      <c r="L18">
        <f t="shared" si="4"/>
        <v>2.5454545454545454</v>
      </c>
      <c r="M18">
        <f t="shared" ref="M18:M31" si="5">(M$1+$A18)/M$1</f>
        <v>2.4166666666666665</v>
      </c>
      <c r="N18">
        <f t="shared" si="4"/>
        <v>2.3076923076923075</v>
      </c>
      <c r="O18">
        <f t="shared" si="4"/>
        <v>2.2142857142857144</v>
      </c>
      <c r="P18">
        <f t="shared" si="4"/>
        <v>2.1333333333333333</v>
      </c>
      <c r="Q18">
        <f t="shared" si="4"/>
        <v>2.0625</v>
      </c>
      <c r="R18">
        <f t="shared" si="3"/>
        <v>2</v>
      </c>
      <c r="S18">
        <f t="shared" si="3"/>
        <v>1.9444444444444444</v>
      </c>
      <c r="T18">
        <f t="shared" si="3"/>
        <v>1.8947368421052631</v>
      </c>
      <c r="U18">
        <f t="shared" si="3"/>
        <v>1.85</v>
      </c>
      <c r="V18" s="2">
        <f t="shared" si="3"/>
        <v>1.8095238095238095</v>
      </c>
      <c r="W18" s="2">
        <f t="shared" si="3"/>
        <v>1.7727272727272727</v>
      </c>
      <c r="X18" s="2">
        <f t="shared" si="3"/>
        <v>1.7391304347826086</v>
      </c>
      <c r="Y18" s="2">
        <f t="shared" si="3"/>
        <v>1.7083333333333333</v>
      </c>
      <c r="Z18" s="2">
        <f t="shared" si="3"/>
        <v>1.68</v>
      </c>
      <c r="AA18" s="2">
        <f t="shared" si="3"/>
        <v>1.6538461538461537</v>
      </c>
      <c r="AB18" s="2">
        <f t="shared" si="3"/>
        <v>1.6296296296296295</v>
      </c>
      <c r="AC18" s="2">
        <f t="shared" si="3"/>
        <v>1.6071428571428572</v>
      </c>
      <c r="AD18" s="2">
        <f t="shared" si="3"/>
        <v>1.5862068965517242</v>
      </c>
      <c r="AE18" s="2">
        <f t="shared" si="3"/>
        <v>1.5666666666666667</v>
      </c>
    </row>
    <row r="19" spans="1:31" x14ac:dyDescent="0.4">
      <c r="A19">
        <v>18</v>
      </c>
      <c r="B19">
        <f t="shared" si="4"/>
        <v>19</v>
      </c>
      <c r="C19">
        <f t="shared" si="4"/>
        <v>10</v>
      </c>
      <c r="D19">
        <f t="shared" si="4"/>
        <v>7</v>
      </c>
      <c r="E19">
        <f t="shared" si="4"/>
        <v>5.5</v>
      </c>
      <c r="F19">
        <f t="shared" si="4"/>
        <v>4.5999999999999996</v>
      </c>
      <c r="G19">
        <f t="shared" si="4"/>
        <v>4</v>
      </c>
      <c r="H19">
        <f t="shared" si="4"/>
        <v>3.5714285714285716</v>
      </c>
      <c r="I19">
        <f t="shared" si="4"/>
        <v>3.25</v>
      </c>
      <c r="J19">
        <f t="shared" si="4"/>
        <v>3</v>
      </c>
      <c r="K19">
        <f t="shared" si="4"/>
        <v>2.8</v>
      </c>
      <c r="L19">
        <f t="shared" si="4"/>
        <v>2.6363636363636362</v>
      </c>
      <c r="M19">
        <f t="shared" si="5"/>
        <v>2.5</v>
      </c>
      <c r="N19">
        <f t="shared" si="3"/>
        <v>2.3846153846153846</v>
      </c>
      <c r="O19">
        <f t="shared" si="3"/>
        <v>2.2857142857142856</v>
      </c>
      <c r="P19">
        <f t="shared" si="3"/>
        <v>2.2000000000000002</v>
      </c>
      <c r="Q19">
        <f t="shared" si="3"/>
        <v>2.125</v>
      </c>
      <c r="R19">
        <f t="shared" si="3"/>
        <v>2.0588235294117645</v>
      </c>
      <c r="S19">
        <f t="shared" si="3"/>
        <v>2</v>
      </c>
      <c r="T19">
        <f t="shared" si="3"/>
        <v>1.9473684210526316</v>
      </c>
      <c r="U19">
        <f t="shared" si="3"/>
        <v>1.9</v>
      </c>
      <c r="V19" s="2">
        <f t="shared" si="3"/>
        <v>1.8571428571428572</v>
      </c>
      <c r="W19" s="2">
        <f t="shared" si="3"/>
        <v>1.8181818181818181</v>
      </c>
      <c r="X19" s="2">
        <f t="shared" si="3"/>
        <v>1.7826086956521738</v>
      </c>
      <c r="Y19" s="2">
        <f t="shared" si="3"/>
        <v>1.75</v>
      </c>
      <c r="Z19" s="2">
        <f t="shared" si="3"/>
        <v>1.72</v>
      </c>
      <c r="AA19" s="2">
        <f t="shared" si="3"/>
        <v>1.6923076923076923</v>
      </c>
      <c r="AB19" s="2">
        <f t="shared" si="3"/>
        <v>1.6666666666666667</v>
      </c>
      <c r="AC19" s="2">
        <f t="shared" si="3"/>
        <v>1.6428571428571428</v>
      </c>
      <c r="AD19" s="2">
        <f t="shared" si="3"/>
        <v>1.6206896551724137</v>
      </c>
      <c r="AE19" s="2">
        <f t="shared" si="3"/>
        <v>1.6</v>
      </c>
    </row>
    <row r="20" spans="1:31" x14ac:dyDescent="0.4">
      <c r="A20">
        <v>19</v>
      </c>
      <c r="B20">
        <f t="shared" si="4"/>
        <v>20</v>
      </c>
      <c r="C20">
        <f t="shared" si="4"/>
        <v>10.5</v>
      </c>
      <c r="D20">
        <f t="shared" si="4"/>
        <v>7.333333333333333</v>
      </c>
      <c r="E20">
        <f t="shared" si="4"/>
        <v>5.75</v>
      </c>
      <c r="F20">
        <f t="shared" si="4"/>
        <v>4.8</v>
      </c>
      <c r="G20">
        <f t="shared" si="4"/>
        <v>4.166666666666667</v>
      </c>
      <c r="H20">
        <f t="shared" si="4"/>
        <v>3.7142857142857144</v>
      </c>
      <c r="I20">
        <f t="shared" si="4"/>
        <v>3.375</v>
      </c>
      <c r="J20">
        <f t="shared" si="4"/>
        <v>3.1111111111111112</v>
      </c>
      <c r="K20">
        <f t="shared" si="4"/>
        <v>2.9</v>
      </c>
      <c r="L20">
        <f t="shared" si="4"/>
        <v>2.7272727272727271</v>
      </c>
      <c r="M20">
        <f t="shared" si="5"/>
        <v>2.5833333333333335</v>
      </c>
      <c r="N20">
        <f t="shared" si="3"/>
        <v>2.4615384615384617</v>
      </c>
      <c r="O20">
        <f t="shared" si="3"/>
        <v>2.3571428571428572</v>
      </c>
      <c r="P20">
        <f t="shared" si="3"/>
        <v>2.2666666666666666</v>
      </c>
      <c r="Q20">
        <f t="shared" si="3"/>
        <v>2.1875</v>
      </c>
      <c r="R20">
        <f t="shared" si="3"/>
        <v>2.1176470588235294</v>
      </c>
      <c r="S20">
        <f t="shared" si="3"/>
        <v>2.0555555555555554</v>
      </c>
      <c r="T20">
        <f t="shared" si="3"/>
        <v>2</v>
      </c>
      <c r="U20">
        <f t="shared" si="3"/>
        <v>1.95</v>
      </c>
      <c r="V20" s="2">
        <f t="shared" si="3"/>
        <v>1.9047619047619047</v>
      </c>
      <c r="W20" s="2">
        <f t="shared" si="3"/>
        <v>1.8636363636363635</v>
      </c>
      <c r="X20" s="2">
        <f t="shared" si="3"/>
        <v>1.826086956521739</v>
      </c>
      <c r="Y20" s="2">
        <f t="shared" si="3"/>
        <v>1.7916666666666667</v>
      </c>
      <c r="Z20" s="2">
        <f t="shared" si="3"/>
        <v>1.76</v>
      </c>
      <c r="AA20" s="2">
        <f t="shared" si="3"/>
        <v>1.7307692307692308</v>
      </c>
      <c r="AB20" s="2">
        <f t="shared" si="3"/>
        <v>1.7037037037037037</v>
      </c>
      <c r="AC20" s="2">
        <f t="shared" si="3"/>
        <v>1.6785714285714286</v>
      </c>
      <c r="AD20" s="2">
        <f t="shared" si="3"/>
        <v>1.6551724137931034</v>
      </c>
      <c r="AE20" s="2">
        <f t="shared" si="3"/>
        <v>1.6333333333333333</v>
      </c>
    </row>
    <row r="21" spans="1:31" x14ac:dyDescent="0.4">
      <c r="A21">
        <v>20</v>
      </c>
      <c r="B21">
        <f t="shared" si="4"/>
        <v>21</v>
      </c>
      <c r="C21">
        <f t="shared" si="4"/>
        <v>11</v>
      </c>
      <c r="D21">
        <f t="shared" si="4"/>
        <v>7.666666666666667</v>
      </c>
      <c r="E21">
        <f t="shared" si="4"/>
        <v>6</v>
      </c>
      <c r="F21">
        <f t="shared" si="4"/>
        <v>5</v>
      </c>
      <c r="G21">
        <f t="shared" si="4"/>
        <v>4.333333333333333</v>
      </c>
      <c r="H21">
        <f t="shared" si="4"/>
        <v>3.8571428571428572</v>
      </c>
      <c r="I21">
        <f t="shared" si="4"/>
        <v>3.5</v>
      </c>
      <c r="J21">
        <f t="shared" si="4"/>
        <v>3.2222222222222223</v>
      </c>
      <c r="K21">
        <f t="shared" si="4"/>
        <v>3</v>
      </c>
      <c r="L21">
        <f t="shared" si="4"/>
        <v>2.8181818181818183</v>
      </c>
      <c r="M21">
        <f t="shared" si="5"/>
        <v>2.6666666666666665</v>
      </c>
      <c r="N21">
        <f t="shared" si="3"/>
        <v>2.5384615384615383</v>
      </c>
      <c r="O21">
        <f t="shared" si="3"/>
        <v>2.4285714285714284</v>
      </c>
      <c r="P21">
        <f t="shared" si="3"/>
        <v>2.3333333333333335</v>
      </c>
      <c r="Q21">
        <f t="shared" si="3"/>
        <v>2.25</v>
      </c>
      <c r="R21">
        <f t="shared" si="3"/>
        <v>2.1764705882352939</v>
      </c>
      <c r="S21">
        <f t="shared" si="3"/>
        <v>2.1111111111111112</v>
      </c>
      <c r="T21">
        <f t="shared" si="3"/>
        <v>2.0526315789473686</v>
      </c>
      <c r="U21">
        <f t="shared" si="3"/>
        <v>2</v>
      </c>
      <c r="V21" s="2">
        <f t="shared" si="3"/>
        <v>1.9523809523809523</v>
      </c>
      <c r="W21" s="2">
        <f t="shared" si="3"/>
        <v>1.9090909090909092</v>
      </c>
      <c r="X21" s="2">
        <f t="shared" si="3"/>
        <v>1.8695652173913044</v>
      </c>
      <c r="Y21" s="2">
        <f t="shared" si="3"/>
        <v>1.8333333333333333</v>
      </c>
      <c r="Z21" s="2">
        <f t="shared" si="3"/>
        <v>1.8</v>
      </c>
      <c r="AA21" s="2">
        <f t="shared" si="3"/>
        <v>1.7692307692307692</v>
      </c>
      <c r="AB21" s="2">
        <f t="shared" si="3"/>
        <v>1.7407407407407407</v>
      </c>
      <c r="AC21" s="2">
        <f t="shared" si="3"/>
        <v>1.7142857142857142</v>
      </c>
      <c r="AD21" s="2">
        <f t="shared" si="3"/>
        <v>1.6896551724137931</v>
      </c>
      <c r="AE21" s="2">
        <f t="shared" si="3"/>
        <v>1.6666666666666667</v>
      </c>
    </row>
    <row r="22" spans="1:31" x14ac:dyDescent="0.4">
      <c r="A22">
        <v>21</v>
      </c>
      <c r="B22">
        <f t="shared" si="4"/>
        <v>22</v>
      </c>
      <c r="C22">
        <f t="shared" si="4"/>
        <v>11.5</v>
      </c>
      <c r="D22">
        <f t="shared" si="4"/>
        <v>8</v>
      </c>
      <c r="E22">
        <f t="shared" si="4"/>
        <v>6.25</v>
      </c>
      <c r="F22">
        <f t="shared" si="4"/>
        <v>5.2</v>
      </c>
      <c r="G22">
        <f t="shared" si="4"/>
        <v>4.5</v>
      </c>
      <c r="H22">
        <f t="shared" si="4"/>
        <v>4</v>
      </c>
      <c r="I22">
        <f t="shared" si="4"/>
        <v>3.625</v>
      </c>
      <c r="J22">
        <f t="shared" si="4"/>
        <v>3.3333333333333335</v>
      </c>
      <c r="K22">
        <f t="shared" si="4"/>
        <v>3.1</v>
      </c>
      <c r="L22">
        <f t="shared" si="4"/>
        <v>2.9090909090909092</v>
      </c>
      <c r="M22">
        <f t="shared" si="5"/>
        <v>2.75</v>
      </c>
      <c r="N22">
        <f t="shared" si="3"/>
        <v>2.6153846153846154</v>
      </c>
      <c r="O22">
        <f t="shared" si="3"/>
        <v>2.5</v>
      </c>
      <c r="P22">
        <f t="shared" si="3"/>
        <v>2.4</v>
      </c>
      <c r="Q22">
        <f t="shared" si="3"/>
        <v>2.3125</v>
      </c>
      <c r="R22">
        <f t="shared" si="3"/>
        <v>2.2352941176470589</v>
      </c>
      <c r="S22">
        <f t="shared" si="3"/>
        <v>2.1666666666666665</v>
      </c>
      <c r="T22">
        <f t="shared" si="3"/>
        <v>2.1052631578947367</v>
      </c>
      <c r="U22">
        <f t="shared" si="3"/>
        <v>2.0499999999999998</v>
      </c>
      <c r="V22" s="2">
        <f t="shared" si="3"/>
        <v>2</v>
      </c>
      <c r="W22" s="2">
        <f t="shared" si="3"/>
        <v>1.9545454545454546</v>
      </c>
      <c r="X22" s="2">
        <f t="shared" si="3"/>
        <v>1.9130434782608696</v>
      </c>
      <c r="Y22" s="2">
        <f t="shared" si="3"/>
        <v>1.875</v>
      </c>
      <c r="Z22" s="2">
        <f t="shared" si="3"/>
        <v>1.84</v>
      </c>
      <c r="AA22" s="2">
        <f t="shared" si="3"/>
        <v>1.8076923076923077</v>
      </c>
      <c r="AB22" s="2">
        <f t="shared" si="3"/>
        <v>1.7777777777777777</v>
      </c>
      <c r="AC22" s="2">
        <f t="shared" si="3"/>
        <v>1.75</v>
      </c>
      <c r="AD22" s="2">
        <f t="shared" si="3"/>
        <v>1.7241379310344827</v>
      </c>
      <c r="AE22" s="2">
        <f t="shared" si="3"/>
        <v>1.7</v>
      </c>
    </row>
    <row r="23" spans="1:31" x14ac:dyDescent="0.4">
      <c r="A23">
        <v>22</v>
      </c>
      <c r="B23">
        <f t="shared" si="4"/>
        <v>23</v>
      </c>
      <c r="C23">
        <f t="shared" si="4"/>
        <v>12</v>
      </c>
      <c r="D23">
        <f t="shared" si="4"/>
        <v>8.3333333333333339</v>
      </c>
      <c r="E23">
        <f t="shared" si="4"/>
        <v>6.5</v>
      </c>
      <c r="F23">
        <f t="shared" si="4"/>
        <v>5.4</v>
      </c>
      <c r="G23">
        <f t="shared" si="4"/>
        <v>4.666666666666667</v>
      </c>
      <c r="H23">
        <f t="shared" si="4"/>
        <v>4.1428571428571432</v>
      </c>
      <c r="I23">
        <f t="shared" si="4"/>
        <v>3.75</v>
      </c>
      <c r="J23">
        <f t="shared" si="4"/>
        <v>3.4444444444444446</v>
      </c>
      <c r="K23">
        <f t="shared" si="4"/>
        <v>3.2</v>
      </c>
      <c r="L23">
        <f t="shared" si="4"/>
        <v>3</v>
      </c>
      <c r="M23">
        <f t="shared" si="5"/>
        <v>2.8333333333333335</v>
      </c>
      <c r="N23">
        <f t="shared" si="3"/>
        <v>2.6923076923076925</v>
      </c>
      <c r="O23">
        <f t="shared" si="3"/>
        <v>2.5714285714285716</v>
      </c>
      <c r="P23">
        <f t="shared" si="3"/>
        <v>2.4666666666666668</v>
      </c>
      <c r="Q23">
        <f t="shared" si="3"/>
        <v>2.375</v>
      </c>
      <c r="R23">
        <f t="shared" si="3"/>
        <v>2.2941176470588234</v>
      </c>
      <c r="S23">
        <f t="shared" si="3"/>
        <v>2.2222222222222223</v>
      </c>
      <c r="T23">
        <f t="shared" si="3"/>
        <v>2.1578947368421053</v>
      </c>
      <c r="U23">
        <f t="shared" si="3"/>
        <v>2.1</v>
      </c>
      <c r="V23" s="2">
        <f t="shared" si="3"/>
        <v>2.0476190476190474</v>
      </c>
      <c r="W23" s="2">
        <f t="shared" si="3"/>
        <v>2</v>
      </c>
      <c r="X23" s="2">
        <f t="shared" si="3"/>
        <v>1.9565217391304348</v>
      </c>
      <c r="Y23" s="2">
        <f t="shared" si="3"/>
        <v>1.9166666666666667</v>
      </c>
      <c r="Z23" s="2">
        <f t="shared" si="3"/>
        <v>1.88</v>
      </c>
      <c r="AA23" s="2">
        <f t="shared" si="3"/>
        <v>1.8461538461538463</v>
      </c>
      <c r="AB23" s="2">
        <f t="shared" si="3"/>
        <v>1.8148148148148149</v>
      </c>
      <c r="AC23" s="2">
        <f t="shared" si="3"/>
        <v>1.7857142857142858</v>
      </c>
      <c r="AD23" s="2">
        <f t="shared" si="3"/>
        <v>1.7586206896551724</v>
      </c>
      <c r="AE23" s="2">
        <f t="shared" si="3"/>
        <v>1.7333333333333334</v>
      </c>
    </row>
    <row r="24" spans="1:31" x14ac:dyDescent="0.4">
      <c r="A24">
        <v>23</v>
      </c>
      <c r="B24">
        <f t="shared" si="4"/>
        <v>24</v>
      </c>
      <c r="C24">
        <f t="shared" si="4"/>
        <v>12.5</v>
      </c>
      <c r="D24">
        <f t="shared" si="4"/>
        <v>8.6666666666666661</v>
      </c>
      <c r="E24">
        <f t="shared" si="4"/>
        <v>6.75</v>
      </c>
      <c r="F24">
        <f t="shared" si="4"/>
        <v>5.6</v>
      </c>
      <c r="G24">
        <f t="shared" si="4"/>
        <v>4.833333333333333</v>
      </c>
      <c r="H24">
        <f t="shared" si="4"/>
        <v>4.2857142857142856</v>
      </c>
      <c r="I24">
        <f t="shared" si="4"/>
        <v>3.875</v>
      </c>
      <c r="J24">
        <f t="shared" si="4"/>
        <v>3.5555555555555554</v>
      </c>
      <c r="K24">
        <f t="shared" si="4"/>
        <v>3.3</v>
      </c>
      <c r="L24">
        <f t="shared" si="4"/>
        <v>3.0909090909090908</v>
      </c>
      <c r="M24">
        <f t="shared" si="5"/>
        <v>2.9166666666666665</v>
      </c>
      <c r="N24">
        <f t="shared" si="3"/>
        <v>2.7692307692307692</v>
      </c>
      <c r="O24">
        <f t="shared" si="3"/>
        <v>2.6428571428571428</v>
      </c>
      <c r="P24">
        <f t="shared" si="3"/>
        <v>2.5333333333333332</v>
      </c>
      <c r="Q24">
        <f t="shared" si="3"/>
        <v>2.4375</v>
      </c>
      <c r="R24">
        <f t="shared" si="3"/>
        <v>2.3529411764705883</v>
      </c>
      <c r="S24">
        <f t="shared" si="3"/>
        <v>2.2777777777777777</v>
      </c>
      <c r="T24">
        <f t="shared" si="3"/>
        <v>2.2105263157894739</v>
      </c>
      <c r="U24">
        <f t="shared" si="3"/>
        <v>2.15</v>
      </c>
      <c r="V24" s="2">
        <f t="shared" si="3"/>
        <v>2.0952380952380953</v>
      </c>
      <c r="W24" s="2">
        <f t="shared" si="3"/>
        <v>2.0454545454545454</v>
      </c>
      <c r="X24" s="2">
        <f t="shared" si="3"/>
        <v>2</v>
      </c>
      <c r="Y24" s="2">
        <f t="shared" si="3"/>
        <v>1.9583333333333333</v>
      </c>
      <c r="Z24" s="2">
        <f t="shared" si="3"/>
        <v>1.92</v>
      </c>
      <c r="AA24" s="2">
        <f t="shared" si="3"/>
        <v>1.8846153846153846</v>
      </c>
      <c r="AB24" s="2">
        <f t="shared" si="3"/>
        <v>1.8518518518518519</v>
      </c>
      <c r="AC24" s="2">
        <f t="shared" si="3"/>
        <v>1.8214285714285714</v>
      </c>
      <c r="AD24" s="2">
        <f t="shared" si="3"/>
        <v>1.7931034482758621</v>
      </c>
      <c r="AE24" s="2">
        <f t="shared" si="3"/>
        <v>1.7666666666666666</v>
      </c>
    </row>
    <row r="25" spans="1:31" x14ac:dyDescent="0.4">
      <c r="A25">
        <v>24</v>
      </c>
      <c r="B25">
        <f t="shared" si="4"/>
        <v>25</v>
      </c>
      <c r="C25">
        <f t="shared" si="4"/>
        <v>13</v>
      </c>
      <c r="D25">
        <f t="shared" si="4"/>
        <v>9</v>
      </c>
      <c r="E25">
        <f t="shared" si="4"/>
        <v>7</v>
      </c>
      <c r="F25">
        <f t="shared" si="4"/>
        <v>5.8</v>
      </c>
      <c r="G25">
        <f t="shared" si="4"/>
        <v>5</v>
      </c>
      <c r="H25">
        <f t="shared" si="4"/>
        <v>4.4285714285714288</v>
      </c>
      <c r="I25">
        <f t="shared" si="4"/>
        <v>4</v>
      </c>
      <c r="J25">
        <f t="shared" si="4"/>
        <v>3.6666666666666665</v>
      </c>
      <c r="K25">
        <f t="shared" si="4"/>
        <v>3.4</v>
      </c>
      <c r="L25">
        <f t="shared" si="4"/>
        <v>3.1818181818181817</v>
      </c>
      <c r="M25">
        <f t="shared" si="5"/>
        <v>3</v>
      </c>
      <c r="N25">
        <f t="shared" si="3"/>
        <v>2.8461538461538463</v>
      </c>
      <c r="O25">
        <f t="shared" si="3"/>
        <v>2.7142857142857144</v>
      </c>
      <c r="P25">
        <f t="shared" si="3"/>
        <v>2.6</v>
      </c>
      <c r="Q25">
        <f t="shared" si="3"/>
        <v>2.5</v>
      </c>
      <c r="R25">
        <f t="shared" si="3"/>
        <v>2.4117647058823528</v>
      </c>
      <c r="S25">
        <f t="shared" si="3"/>
        <v>2.3333333333333335</v>
      </c>
      <c r="T25">
        <f t="shared" si="3"/>
        <v>2.263157894736842</v>
      </c>
      <c r="U25">
        <f t="shared" si="3"/>
        <v>2.2000000000000002</v>
      </c>
      <c r="V25" s="2">
        <f t="shared" si="3"/>
        <v>2.1428571428571428</v>
      </c>
      <c r="W25" s="2">
        <f t="shared" si="3"/>
        <v>2.0909090909090908</v>
      </c>
      <c r="X25" s="2">
        <f t="shared" si="3"/>
        <v>2.0434782608695654</v>
      </c>
      <c r="Y25" s="2">
        <f t="shared" si="3"/>
        <v>2</v>
      </c>
      <c r="Z25" s="2">
        <f t="shared" si="3"/>
        <v>1.96</v>
      </c>
      <c r="AA25" s="2">
        <f t="shared" si="3"/>
        <v>1.9230769230769231</v>
      </c>
      <c r="AB25" s="2">
        <f t="shared" si="3"/>
        <v>1.8888888888888888</v>
      </c>
      <c r="AC25" s="2">
        <f t="shared" si="3"/>
        <v>1.8571428571428572</v>
      </c>
      <c r="AD25" s="2">
        <f t="shared" si="3"/>
        <v>1.8275862068965518</v>
      </c>
      <c r="AE25" s="2">
        <f t="shared" si="3"/>
        <v>1.8</v>
      </c>
    </row>
    <row r="26" spans="1:31" x14ac:dyDescent="0.4">
      <c r="A26">
        <v>25</v>
      </c>
      <c r="B26">
        <f t="shared" si="4"/>
        <v>26</v>
      </c>
      <c r="C26">
        <f t="shared" si="4"/>
        <v>13.5</v>
      </c>
      <c r="D26">
        <f t="shared" si="4"/>
        <v>9.3333333333333339</v>
      </c>
      <c r="E26">
        <f t="shared" si="4"/>
        <v>7.25</v>
      </c>
      <c r="F26">
        <f t="shared" si="4"/>
        <v>6</v>
      </c>
      <c r="G26">
        <f t="shared" si="4"/>
        <v>5.166666666666667</v>
      </c>
      <c r="H26">
        <f t="shared" si="4"/>
        <v>4.5714285714285712</v>
      </c>
      <c r="I26">
        <f t="shared" si="4"/>
        <v>4.125</v>
      </c>
      <c r="J26">
        <f t="shared" si="4"/>
        <v>3.7777777777777777</v>
      </c>
      <c r="K26">
        <f t="shared" si="4"/>
        <v>3.5</v>
      </c>
      <c r="L26">
        <f t="shared" si="4"/>
        <v>3.2727272727272729</v>
      </c>
      <c r="M26">
        <f t="shared" si="5"/>
        <v>3.0833333333333335</v>
      </c>
      <c r="N26">
        <f t="shared" si="3"/>
        <v>2.9230769230769229</v>
      </c>
      <c r="O26">
        <f t="shared" si="3"/>
        <v>2.7857142857142856</v>
      </c>
      <c r="P26">
        <f t="shared" si="3"/>
        <v>2.6666666666666665</v>
      </c>
      <c r="Q26">
        <f t="shared" si="3"/>
        <v>2.5625</v>
      </c>
      <c r="R26">
        <f t="shared" si="3"/>
        <v>2.4705882352941178</v>
      </c>
      <c r="S26">
        <f t="shared" si="3"/>
        <v>2.3888888888888888</v>
      </c>
      <c r="T26">
        <f t="shared" si="3"/>
        <v>2.3157894736842106</v>
      </c>
      <c r="U26">
        <f t="shared" si="3"/>
        <v>2.25</v>
      </c>
      <c r="V26" s="2">
        <f t="shared" si="3"/>
        <v>2.1904761904761907</v>
      </c>
      <c r="W26" s="2">
        <f t="shared" si="3"/>
        <v>2.1363636363636362</v>
      </c>
      <c r="X26" s="2">
        <f t="shared" si="3"/>
        <v>2.0869565217391304</v>
      </c>
      <c r="Y26" s="2">
        <f t="shared" si="3"/>
        <v>2.0416666666666665</v>
      </c>
      <c r="Z26" s="2">
        <f t="shared" si="3"/>
        <v>2</v>
      </c>
      <c r="AA26" s="2">
        <f t="shared" si="3"/>
        <v>1.9615384615384615</v>
      </c>
      <c r="AB26" s="2">
        <f t="shared" ref="N26:AE31" si="6">(AB$1+$A26)/AB$1</f>
        <v>1.9259259259259258</v>
      </c>
      <c r="AC26" s="2">
        <f t="shared" si="6"/>
        <v>1.8928571428571428</v>
      </c>
      <c r="AD26" s="2">
        <f t="shared" si="6"/>
        <v>1.8620689655172413</v>
      </c>
      <c r="AE26" s="2">
        <f t="shared" si="6"/>
        <v>1.8333333333333333</v>
      </c>
    </row>
    <row r="27" spans="1:31" x14ac:dyDescent="0.4">
      <c r="A27">
        <v>26</v>
      </c>
      <c r="B27">
        <f t="shared" si="4"/>
        <v>27</v>
      </c>
      <c r="C27">
        <f t="shared" si="4"/>
        <v>14</v>
      </c>
      <c r="D27">
        <f t="shared" si="4"/>
        <v>9.6666666666666661</v>
      </c>
      <c r="E27">
        <f t="shared" si="4"/>
        <v>7.5</v>
      </c>
      <c r="F27">
        <f t="shared" si="4"/>
        <v>6.2</v>
      </c>
      <c r="G27">
        <f t="shared" si="4"/>
        <v>5.333333333333333</v>
      </c>
      <c r="H27">
        <f t="shared" si="4"/>
        <v>4.7142857142857144</v>
      </c>
      <c r="I27">
        <f t="shared" si="4"/>
        <v>4.25</v>
      </c>
      <c r="J27">
        <f t="shared" si="4"/>
        <v>3.8888888888888888</v>
      </c>
      <c r="K27">
        <f t="shared" si="4"/>
        <v>3.6</v>
      </c>
      <c r="L27">
        <f t="shared" si="4"/>
        <v>3.3636363636363638</v>
      </c>
      <c r="M27">
        <f t="shared" si="5"/>
        <v>3.1666666666666665</v>
      </c>
      <c r="N27">
        <f t="shared" si="6"/>
        <v>3</v>
      </c>
      <c r="O27">
        <f t="shared" si="6"/>
        <v>2.8571428571428572</v>
      </c>
      <c r="P27">
        <f t="shared" si="6"/>
        <v>2.7333333333333334</v>
      </c>
      <c r="Q27">
        <f t="shared" si="6"/>
        <v>2.625</v>
      </c>
      <c r="R27">
        <f t="shared" si="6"/>
        <v>2.5294117647058822</v>
      </c>
      <c r="S27">
        <f t="shared" si="6"/>
        <v>2.4444444444444446</v>
      </c>
      <c r="T27">
        <f t="shared" si="6"/>
        <v>2.3684210526315788</v>
      </c>
      <c r="U27">
        <f t="shared" si="6"/>
        <v>2.2999999999999998</v>
      </c>
      <c r="V27" s="2">
        <f t="shared" si="6"/>
        <v>2.2380952380952381</v>
      </c>
      <c r="W27" s="2">
        <f t="shared" si="6"/>
        <v>2.1818181818181817</v>
      </c>
      <c r="X27" s="2">
        <f t="shared" si="6"/>
        <v>2.1304347826086958</v>
      </c>
      <c r="Y27" s="2">
        <f t="shared" si="6"/>
        <v>2.0833333333333335</v>
      </c>
      <c r="Z27" s="2">
        <f t="shared" si="6"/>
        <v>2.04</v>
      </c>
      <c r="AA27" s="2">
        <f t="shared" si="6"/>
        <v>2</v>
      </c>
      <c r="AB27" s="2">
        <f t="shared" si="6"/>
        <v>1.962962962962963</v>
      </c>
      <c r="AC27" s="2">
        <f t="shared" si="6"/>
        <v>1.9285714285714286</v>
      </c>
      <c r="AD27" s="2">
        <f t="shared" si="6"/>
        <v>1.896551724137931</v>
      </c>
      <c r="AE27" s="2">
        <f t="shared" si="6"/>
        <v>1.8666666666666667</v>
      </c>
    </row>
    <row r="28" spans="1:31" x14ac:dyDescent="0.4">
      <c r="A28">
        <v>27</v>
      </c>
      <c r="B28">
        <f t="shared" si="4"/>
        <v>28</v>
      </c>
      <c r="C28">
        <f t="shared" si="4"/>
        <v>14.5</v>
      </c>
      <c r="D28">
        <f t="shared" si="4"/>
        <v>10</v>
      </c>
      <c r="E28">
        <f t="shared" si="4"/>
        <v>7.75</v>
      </c>
      <c r="F28">
        <f t="shared" si="4"/>
        <v>6.4</v>
      </c>
      <c r="G28">
        <f t="shared" si="4"/>
        <v>5.5</v>
      </c>
      <c r="H28">
        <f t="shared" si="4"/>
        <v>4.8571428571428568</v>
      </c>
      <c r="I28">
        <f t="shared" si="4"/>
        <v>4.375</v>
      </c>
      <c r="J28">
        <f t="shared" si="4"/>
        <v>4</v>
      </c>
      <c r="K28">
        <f t="shared" si="4"/>
        <v>3.7</v>
      </c>
      <c r="L28">
        <f t="shared" si="4"/>
        <v>3.4545454545454546</v>
      </c>
      <c r="M28">
        <f t="shared" si="5"/>
        <v>3.25</v>
      </c>
      <c r="N28">
        <f t="shared" si="6"/>
        <v>3.0769230769230771</v>
      </c>
      <c r="O28">
        <f t="shared" si="6"/>
        <v>2.9285714285714284</v>
      </c>
      <c r="P28">
        <f t="shared" si="6"/>
        <v>2.8</v>
      </c>
      <c r="Q28">
        <f t="shared" si="6"/>
        <v>2.6875</v>
      </c>
      <c r="R28">
        <f t="shared" si="6"/>
        <v>2.5882352941176472</v>
      </c>
      <c r="S28">
        <f t="shared" si="6"/>
        <v>2.5</v>
      </c>
      <c r="T28">
        <f t="shared" si="6"/>
        <v>2.4210526315789473</v>
      </c>
      <c r="U28">
        <f t="shared" si="6"/>
        <v>2.35</v>
      </c>
      <c r="V28" s="2">
        <f t="shared" si="6"/>
        <v>2.2857142857142856</v>
      </c>
      <c r="W28" s="2">
        <f t="shared" si="6"/>
        <v>2.2272727272727271</v>
      </c>
      <c r="X28" s="2">
        <f t="shared" si="6"/>
        <v>2.1739130434782608</v>
      </c>
      <c r="Y28" s="2">
        <f t="shared" si="6"/>
        <v>2.125</v>
      </c>
      <c r="Z28" s="2">
        <f t="shared" si="6"/>
        <v>2.08</v>
      </c>
      <c r="AA28" s="2">
        <f t="shared" si="6"/>
        <v>2.0384615384615383</v>
      </c>
      <c r="AB28" s="2">
        <f t="shared" si="6"/>
        <v>2</v>
      </c>
      <c r="AC28" s="2">
        <f t="shared" si="6"/>
        <v>1.9642857142857142</v>
      </c>
      <c r="AD28" s="2">
        <f t="shared" si="6"/>
        <v>1.9310344827586208</v>
      </c>
      <c r="AE28" s="2">
        <f t="shared" si="6"/>
        <v>1.9</v>
      </c>
    </row>
    <row r="29" spans="1:31" x14ac:dyDescent="0.4">
      <c r="A29">
        <v>28</v>
      </c>
      <c r="B29">
        <f t="shared" si="4"/>
        <v>29</v>
      </c>
      <c r="C29">
        <f t="shared" si="4"/>
        <v>15</v>
      </c>
      <c r="D29">
        <f t="shared" si="4"/>
        <v>10.333333333333334</v>
      </c>
      <c r="E29">
        <f t="shared" si="4"/>
        <v>8</v>
      </c>
      <c r="F29">
        <f t="shared" si="4"/>
        <v>6.6</v>
      </c>
      <c r="G29">
        <f t="shared" si="4"/>
        <v>5.666666666666667</v>
      </c>
      <c r="H29">
        <f t="shared" si="4"/>
        <v>5</v>
      </c>
      <c r="I29">
        <f t="shared" si="4"/>
        <v>4.5</v>
      </c>
      <c r="J29">
        <f t="shared" si="4"/>
        <v>4.1111111111111107</v>
      </c>
      <c r="K29">
        <f t="shared" si="4"/>
        <v>3.8</v>
      </c>
      <c r="L29">
        <f t="shared" si="4"/>
        <v>3.5454545454545454</v>
      </c>
      <c r="M29">
        <f t="shared" si="5"/>
        <v>3.3333333333333335</v>
      </c>
      <c r="N29">
        <f t="shared" si="6"/>
        <v>3.1538461538461537</v>
      </c>
      <c r="O29">
        <f t="shared" si="6"/>
        <v>3</v>
      </c>
      <c r="P29">
        <f t="shared" si="6"/>
        <v>2.8666666666666667</v>
      </c>
      <c r="Q29">
        <f t="shared" si="6"/>
        <v>2.75</v>
      </c>
      <c r="R29">
        <f t="shared" si="6"/>
        <v>2.6470588235294117</v>
      </c>
      <c r="S29">
        <f t="shared" si="6"/>
        <v>2.5555555555555554</v>
      </c>
      <c r="T29">
        <f t="shared" si="6"/>
        <v>2.4736842105263159</v>
      </c>
      <c r="U29">
        <f t="shared" si="6"/>
        <v>2.4</v>
      </c>
      <c r="V29" s="2">
        <f t="shared" si="6"/>
        <v>2.3333333333333335</v>
      </c>
      <c r="W29" s="2">
        <f t="shared" si="6"/>
        <v>2.2727272727272729</v>
      </c>
      <c r="X29" s="2">
        <f t="shared" si="6"/>
        <v>2.2173913043478262</v>
      </c>
      <c r="Y29" s="2">
        <f t="shared" si="6"/>
        <v>2.1666666666666665</v>
      </c>
      <c r="Z29" s="2">
        <f t="shared" si="6"/>
        <v>2.12</v>
      </c>
      <c r="AA29" s="2">
        <f t="shared" si="6"/>
        <v>2.0769230769230771</v>
      </c>
      <c r="AB29" s="2">
        <f t="shared" si="6"/>
        <v>2.0370370370370372</v>
      </c>
      <c r="AC29" s="2">
        <f t="shared" si="6"/>
        <v>2</v>
      </c>
      <c r="AD29" s="2">
        <f t="shared" si="6"/>
        <v>1.9655172413793103</v>
      </c>
      <c r="AE29" s="2">
        <f t="shared" si="6"/>
        <v>1.9333333333333333</v>
      </c>
    </row>
    <row r="30" spans="1:31" x14ac:dyDescent="0.4">
      <c r="A30">
        <v>29</v>
      </c>
      <c r="B30">
        <f t="shared" si="4"/>
        <v>30</v>
      </c>
      <c r="C30">
        <f t="shared" si="4"/>
        <v>15.5</v>
      </c>
      <c r="D30">
        <f t="shared" si="4"/>
        <v>10.666666666666666</v>
      </c>
      <c r="E30">
        <f t="shared" si="4"/>
        <v>8.25</v>
      </c>
      <c r="F30">
        <f t="shared" si="4"/>
        <v>6.8</v>
      </c>
      <c r="G30">
        <f t="shared" si="4"/>
        <v>5.833333333333333</v>
      </c>
      <c r="H30">
        <f t="shared" si="4"/>
        <v>5.1428571428571432</v>
      </c>
      <c r="I30">
        <f t="shared" si="4"/>
        <v>4.625</v>
      </c>
      <c r="J30">
        <f t="shared" si="4"/>
        <v>4.2222222222222223</v>
      </c>
      <c r="K30">
        <f t="shared" si="4"/>
        <v>3.9</v>
      </c>
      <c r="L30">
        <f t="shared" si="4"/>
        <v>3.6363636363636362</v>
      </c>
      <c r="M30">
        <f t="shared" si="5"/>
        <v>3.4166666666666665</v>
      </c>
      <c r="N30">
        <f t="shared" si="6"/>
        <v>3.2307692307692308</v>
      </c>
      <c r="O30">
        <f t="shared" si="6"/>
        <v>3.0714285714285716</v>
      </c>
      <c r="P30">
        <f t="shared" si="6"/>
        <v>2.9333333333333331</v>
      </c>
      <c r="Q30">
        <f t="shared" si="6"/>
        <v>2.8125</v>
      </c>
      <c r="R30">
        <f t="shared" si="6"/>
        <v>2.7058823529411766</v>
      </c>
      <c r="S30">
        <f t="shared" si="6"/>
        <v>2.6111111111111112</v>
      </c>
      <c r="T30">
        <f t="shared" si="6"/>
        <v>2.5263157894736841</v>
      </c>
      <c r="U30">
        <f t="shared" si="6"/>
        <v>2.4500000000000002</v>
      </c>
      <c r="V30" s="2">
        <f t="shared" si="6"/>
        <v>2.3809523809523809</v>
      </c>
      <c r="W30" s="2">
        <f t="shared" si="6"/>
        <v>2.3181818181818183</v>
      </c>
      <c r="X30" s="2">
        <f t="shared" si="6"/>
        <v>2.2608695652173911</v>
      </c>
      <c r="Y30" s="2">
        <f t="shared" si="6"/>
        <v>2.2083333333333335</v>
      </c>
      <c r="Z30" s="2">
        <f t="shared" si="6"/>
        <v>2.16</v>
      </c>
      <c r="AA30" s="2">
        <f t="shared" si="6"/>
        <v>2.1153846153846154</v>
      </c>
      <c r="AB30" s="2">
        <f t="shared" si="6"/>
        <v>2.074074074074074</v>
      </c>
      <c r="AC30" s="2">
        <f t="shared" si="6"/>
        <v>2.0357142857142856</v>
      </c>
      <c r="AD30" s="2">
        <f t="shared" si="6"/>
        <v>2</v>
      </c>
      <c r="AE30" s="2">
        <f t="shared" si="6"/>
        <v>1.9666666666666666</v>
      </c>
    </row>
    <row r="31" spans="1:31" x14ac:dyDescent="0.4">
      <c r="A31">
        <v>30</v>
      </c>
      <c r="B31">
        <f t="shared" si="4"/>
        <v>31</v>
      </c>
      <c r="C31">
        <f t="shared" si="4"/>
        <v>16</v>
      </c>
      <c r="D31">
        <f t="shared" si="4"/>
        <v>11</v>
      </c>
      <c r="E31">
        <f t="shared" si="4"/>
        <v>8.5</v>
      </c>
      <c r="F31">
        <f t="shared" si="4"/>
        <v>7</v>
      </c>
      <c r="G31">
        <f t="shared" si="4"/>
        <v>6</v>
      </c>
      <c r="H31">
        <f t="shared" si="4"/>
        <v>5.2857142857142856</v>
      </c>
      <c r="I31">
        <f t="shared" si="4"/>
        <v>4.75</v>
      </c>
      <c r="J31">
        <f t="shared" si="4"/>
        <v>4.333333333333333</v>
      </c>
      <c r="K31">
        <f t="shared" si="4"/>
        <v>4</v>
      </c>
      <c r="L31">
        <f t="shared" si="4"/>
        <v>3.7272727272727271</v>
      </c>
      <c r="M31">
        <f t="shared" si="5"/>
        <v>3.5</v>
      </c>
      <c r="N31">
        <f t="shared" si="6"/>
        <v>3.3076923076923075</v>
      </c>
      <c r="O31">
        <f t="shared" si="6"/>
        <v>3.1428571428571428</v>
      </c>
      <c r="P31">
        <f t="shared" si="6"/>
        <v>3</v>
      </c>
      <c r="Q31">
        <f t="shared" si="6"/>
        <v>2.875</v>
      </c>
      <c r="R31">
        <f t="shared" si="6"/>
        <v>2.7647058823529411</v>
      </c>
      <c r="S31">
        <f t="shared" si="6"/>
        <v>2.6666666666666665</v>
      </c>
      <c r="T31">
        <f t="shared" si="6"/>
        <v>2.5789473684210527</v>
      </c>
      <c r="U31">
        <f t="shared" si="6"/>
        <v>2.5</v>
      </c>
      <c r="V31" s="2">
        <f t="shared" si="6"/>
        <v>2.4285714285714284</v>
      </c>
      <c r="W31" s="2">
        <f t="shared" si="6"/>
        <v>2.3636363636363638</v>
      </c>
      <c r="X31" s="2">
        <f t="shared" si="6"/>
        <v>2.3043478260869565</v>
      </c>
      <c r="Y31" s="2">
        <f t="shared" si="6"/>
        <v>2.25</v>
      </c>
      <c r="Z31" s="2">
        <f t="shared" si="6"/>
        <v>2.2000000000000002</v>
      </c>
      <c r="AA31" s="2">
        <f t="shared" si="6"/>
        <v>2.1538461538461537</v>
      </c>
      <c r="AB31" s="2">
        <f t="shared" si="6"/>
        <v>2.1111111111111112</v>
      </c>
      <c r="AC31" s="2">
        <f t="shared" si="6"/>
        <v>2.0714285714285716</v>
      </c>
      <c r="AD31" s="2">
        <f t="shared" si="6"/>
        <v>2.0344827586206895</v>
      </c>
      <c r="AE31" s="2">
        <f t="shared" si="6"/>
        <v>2</v>
      </c>
    </row>
  </sheetData>
  <phoneticPr fontId="1"/>
  <conditionalFormatting sqref="B2:AE31">
    <cfRule type="cellIs" dxfId="0" priority="1" operator="lessThanOrEqual">
      <formula>1.5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957B5-3F62-4EA3-845C-654249EE41EA}">
  <sheetPr codeName="Sheet2"/>
  <dimension ref="A1:M40"/>
  <sheetViews>
    <sheetView topLeftCell="A19" zoomScaleNormal="100" workbookViewId="0">
      <selection activeCell="B33" sqref="B33"/>
    </sheetView>
  </sheetViews>
  <sheetFormatPr defaultRowHeight="18.75" x14ac:dyDescent="0.4"/>
  <cols>
    <col min="1" max="1" width="6.5" customWidth="1"/>
    <col min="2" max="4" width="5.625" customWidth="1"/>
    <col min="13" max="13" width="89.125" bestFit="1" customWidth="1"/>
  </cols>
  <sheetData>
    <row r="1" spans="1:13" x14ac:dyDescent="0.4">
      <c r="A1" t="s">
        <v>0</v>
      </c>
      <c r="B1" t="s">
        <v>1</v>
      </c>
      <c r="C1" t="s">
        <v>38</v>
      </c>
      <c r="D1" t="s">
        <v>39</v>
      </c>
      <c r="E1" t="s">
        <v>2</v>
      </c>
      <c r="F1" t="s">
        <v>3</v>
      </c>
      <c r="G1" t="s">
        <v>40</v>
      </c>
      <c r="H1">
        <v>2</v>
      </c>
      <c r="I1">
        <v>1</v>
      </c>
      <c r="K1" t="s">
        <v>4</v>
      </c>
      <c r="L1" t="s">
        <v>5</v>
      </c>
    </row>
    <row r="2" spans="1:13" x14ac:dyDescent="0.4">
      <c r="A2">
        <f t="shared" ref="A2:A20" si="0">E2*H2</f>
        <v>0.10796574481390371</v>
      </c>
      <c r="B2">
        <f t="shared" ref="B2:B20" si="1">F2*H2</f>
        <v>-0.95822248811134125</v>
      </c>
      <c r="E2">
        <f t="shared" ref="E2:E20" si="2">SIN(G2)</f>
        <v>0.11196447610330754</v>
      </c>
      <c r="F2">
        <f t="shared" ref="F2:F20" si="3">COS(G2)</f>
        <v>-0.9937122098932426</v>
      </c>
      <c r="G2">
        <f t="shared" ref="G2:G30" si="4">PI()*H2+I2</f>
        <v>3.0293929159615867</v>
      </c>
      <c r="H2">
        <f t="shared" ref="H2:H31" si="5">-1/7*(I4-7)^2+7</f>
        <v>0.96428571428571441</v>
      </c>
      <c r="I2">
        <v>0</v>
      </c>
      <c r="K2">
        <f>ROUND(A2,2)</f>
        <v>0.11</v>
      </c>
      <c r="L2">
        <f>ROUND(B2,2)</f>
        <v>-0.96</v>
      </c>
      <c r="M2" t="str">
        <f t="shared" ref="M2:M30" si="6">"execute if block ^" &amp; K2 &amp; " ^ ^" &amp; L2 &amp; " #main:canspawn run summon minecraft:husk ^"  &amp; K2 &amp; " ^ ^" &amp; L2 &amp; " {CustomName:""{\""Name\"":\""TEST\""}"",Tags:[New,Time-,Mob,Enemy,Undead],Attributes:[{Name:generic.maxHealth,Base:1000000},{Name:generic.attackDamage,Base:0}],Health:1000000.0f,DeathLootTable:""minecraft:empty"",DeathTime:19s}"</f>
        <v>execute if block ^0.11 ^ ^-0.96 #main:canspawn run summon minecraft:husk ^0.11 ^ ^-0.96 {CustomName:"{\"Name\":\"TEST\"}",Tags:[New,Time-,Mob,Enemy,Undead],Attributes:[{Name:generic.maxHealth,Base:1000000},{Name:generic.attackDamage,Base:0}],Health:1000000.0f,DeathLootTable:"minecraft:empty",DeathTime:19s}</v>
      </c>
    </row>
    <row r="3" spans="1:13" x14ac:dyDescent="0.4">
      <c r="A3">
        <f t="shared" si="0"/>
        <v>-1.4196385984948787</v>
      </c>
      <c r="B3">
        <f t="shared" si="1"/>
        <v>-3.4772834558944045E-3</v>
      </c>
      <c r="E3">
        <f t="shared" si="2"/>
        <v>-0.99999700019765003</v>
      </c>
      <c r="F3">
        <f t="shared" si="3"/>
        <v>-2.4494072142149255E-3</v>
      </c>
      <c r="G3">
        <f t="shared" si="4"/>
        <v>4.7099395707212262</v>
      </c>
      <c r="H3">
        <f t="shared" si="5"/>
        <v>1.4196428571428577</v>
      </c>
      <c r="I3">
        <v>0.25</v>
      </c>
      <c r="K3">
        <f t="shared" ref="K3:K30" si="7">ROUND(A3,2)</f>
        <v>-1.42</v>
      </c>
      <c r="L3">
        <f t="shared" ref="L3:L30" si="8">ROUND(B3,2)</f>
        <v>0</v>
      </c>
      <c r="M3" t="str">
        <f t="shared" si="6"/>
        <v>execute if block ^-1.42 ^ ^0 #main:canspawn run summon minecraft:husk ^-1.42 ^ ^0 {CustomName:"{\"Name\":\"TEST\"}",Tags:[New,Time-,Mob,Enemy,Undead],Attributes:[{Name:generic.maxHealth,Base:1000000},{Name:generic.attackDamage,Base:0}],Health:1000000.0f,DeathLootTable:"minecraft:empty",DeathTime:19s}</v>
      </c>
    </row>
    <row r="4" spans="1:13" x14ac:dyDescent="0.4">
      <c r="A4">
        <f t="shared" si="0"/>
        <v>9.5046122641557457E-2</v>
      </c>
      <c r="B4">
        <f t="shared" si="1"/>
        <v>1.8547090948198701</v>
      </c>
      <c r="E4">
        <f t="shared" si="2"/>
        <v>5.1178681422377081E-2</v>
      </c>
      <c r="F4">
        <f t="shared" si="3"/>
        <v>0.99868951259531447</v>
      </c>
      <c r="G4">
        <f t="shared" si="4"/>
        <v>6.3343863566667604</v>
      </c>
      <c r="H4">
        <f t="shared" si="5"/>
        <v>1.8571428571428577</v>
      </c>
      <c r="I4">
        <v>0.5</v>
      </c>
      <c r="K4">
        <f t="shared" si="7"/>
        <v>0.1</v>
      </c>
      <c r="L4">
        <f t="shared" si="8"/>
        <v>1.85</v>
      </c>
      <c r="M4" t="str">
        <f t="shared" si="6"/>
        <v>execute if block ^0.1 ^ ^1.85 #main:canspawn run summon minecraft:husk ^0.1 ^ ^1.85 {CustomName:"{\"Name\":\"TEST\"}",Tags:[New,Time-,Mob,Enemy,Undead],Attributes:[{Name:generic.maxHealth,Base:1000000},{Name:generic.attackDamage,Base:0}],Health:1000000.0f,DeathLootTable:"minecraft:empty",DeathTime:19s}</v>
      </c>
    </row>
    <row r="5" spans="1:13" x14ac:dyDescent="0.4">
      <c r="A5">
        <f t="shared" si="0"/>
        <v>2.2740806063365424</v>
      </c>
      <c r="B5">
        <f t="shared" si="1"/>
        <v>-0.11095307413286556</v>
      </c>
      <c r="E5">
        <f t="shared" si="2"/>
        <v>0.99881187415565786</v>
      </c>
      <c r="F5">
        <f t="shared" si="3"/>
        <v>-4.8732330599533108E-2</v>
      </c>
      <c r="G5">
        <f t="shared" si="4"/>
        <v>7.9027332737981899</v>
      </c>
      <c r="H5">
        <f t="shared" si="5"/>
        <v>2.2767857142857144</v>
      </c>
      <c r="I5">
        <v>0.75</v>
      </c>
      <c r="K5">
        <f t="shared" si="7"/>
        <v>2.27</v>
      </c>
      <c r="L5">
        <f t="shared" si="8"/>
        <v>-0.11</v>
      </c>
      <c r="M5" t="str">
        <f t="shared" si="6"/>
        <v>execute if block ^2.27 ^ ^-0.11 #main:canspawn run summon minecraft:husk ^2.27 ^ ^-0.11 {CustomName:"{\"Name\":\"TEST\"}",Tags:[New,Time-,Mob,Enemy,Undead],Attributes:[{Name:generic.maxHealth,Base:1000000},{Name:generic.attackDamage,Base:0}],Health:1000000.0f,DeathLootTable:"minecraft:empty",DeathTime:19s}</v>
      </c>
    </row>
    <row r="6" spans="1:13" x14ac:dyDescent="0.4">
      <c r="A6">
        <f t="shared" si="0"/>
        <v>2.6243255096370804E-2</v>
      </c>
      <c r="B6">
        <f t="shared" si="1"/>
        <v>-2.6784428665777309</v>
      </c>
      <c r="E6">
        <f t="shared" si="2"/>
        <v>9.7974819026450995E-3</v>
      </c>
      <c r="F6">
        <f t="shared" si="3"/>
        <v>-0.99995200352235269</v>
      </c>
      <c r="G6">
        <f t="shared" si="4"/>
        <v>9.4149803221155182</v>
      </c>
      <c r="H6">
        <f t="shared" si="5"/>
        <v>2.6785714285714288</v>
      </c>
      <c r="I6">
        <v>1</v>
      </c>
      <c r="K6">
        <f t="shared" si="7"/>
        <v>0.03</v>
      </c>
      <c r="L6">
        <f t="shared" si="8"/>
        <v>-2.68</v>
      </c>
      <c r="M6" t="str">
        <f t="shared" si="6"/>
        <v>execute if block ^0.03 ^ ^-2.68 #main:canspawn run summon minecraft:husk ^0.03 ^ ^-2.68 {CustomName:"{\"Name\":\"TEST\"}",Tags:[New,Time-,Mob,Enemy,Undead],Attributes:[{Name:generic.maxHealth,Base:1000000},{Name:generic.attackDamage,Base:0}],Health:1000000.0f,DeathLootTable:"minecraft:empty",DeathTime:19s}</v>
      </c>
    </row>
    <row r="7" spans="1:13" x14ac:dyDescent="0.4">
      <c r="A7">
        <f t="shared" si="0"/>
        <v>-3.0388161170855272</v>
      </c>
      <c r="B7">
        <f t="shared" si="1"/>
        <v>-0.38013531346250951</v>
      </c>
      <c r="E7">
        <f t="shared" si="2"/>
        <v>-0.99226648721160071</v>
      </c>
      <c r="F7">
        <f t="shared" si="3"/>
        <v>-0.12412581664081944</v>
      </c>
      <c r="G7">
        <f t="shared" si="4"/>
        <v>10.871127501618741</v>
      </c>
      <c r="H7">
        <f t="shared" si="5"/>
        <v>3.0625</v>
      </c>
      <c r="I7">
        <v>1.25</v>
      </c>
      <c r="K7">
        <f t="shared" si="7"/>
        <v>-3.04</v>
      </c>
      <c r="L7">
        <f t="shared" si="8"/>
        <v>-0.38</v>
      </c>
      <c r="M7" t="str">
        <f t="shared" si="6"/>
        <v>execute if block ^-3.04 ^ ^-0.38 #main:canspawn run summon minecraft:husk ^-3.04 ^ ^-0.38 {CustomName:"{\"Name\":\"TEST\"}",Tags:[New,Time-,Mob,Enemy,Undead],Attributes:[{Name:generic.maxHealth,Base:1000000},{Name:generic.attackDamage,Base:0}],Health:1000000.0f,DeathLootTable:"minecraft:empty",DeathTime:19s}</v>
      </c>
    </row>
    <row r="8" spans="1:13" x14ac:dyDescent="0.4">
      <c r="A8">
        <f t="shared" si="0"/>
        <v>-0.99746464584464278</v>
      </c>
      <c r="B8">
        <f t="shared" si="1"/>
        <v>3.280269245215452</v>
      </c>
      <c r="E8">
        <f t="shared" si="2"/>
        <v>-0.29092718837135412</v>
      </c>
      <c r="F8">
        <f t="shared" si="3"/>
        <v>0.9567451965211734</v>
      </c>
      <c r="G8">
        <f t="shared" si="4"/>
        <v>12.271174812307862</v>
      </c>
      <c r="H8">
        <f t="shared" si="5"/>
        <v>3.4285714285714288</v>
      </c>
      <c r="I8">
        <v>1.5</v>
      </c>
      <c r="K8">
        <f t="shared" si="7"/>
        <v>-1</v>
      </c>
      <c r="L8">
        <f t="shared" si="8"/>
        <v>3.28</v>
      </c>
      <c r="M8" t="str">
        <f t="shared" si="6"/>
        <v>execute if block ^-1 ^ ^3.28 #main:canspawn run summon minecraft:husk ^-1 ^ ^3.28 {CustomName:"{\"Name\":\"TEST\"}",Tags:[New,Time-,Mob,Enemy,Undead],Attributes:[{Name:generic.maxHealth,Base:1000000},{Name:generic.attackDamage,Base:0}],Health:1000000.0f,DeathLootTable:"minecraft:empty",DeathTime:19s}</v>
      </c>
    </row>
    <row r="9" spans="1:13" x14ac:dyDescent="0.4">
      <c r="A9">
        <f t="shared" si="0"/>
        <v>3.2737231521089538</v>
      </c>
      <c r="B9">
        <f t="shared" si="1"/>
        <v>1.8833074775454137</v>
      </c>
      <c r="E9">
        <f t="shared" si="2"/>
        <v>0.86680140197683886</v>
      </c>
      <c r="F9">
        <f t="shared" si="3"/>
        <v>0.49865351651320644</v>
      </c>
      <c r="G9">
        <f t="shared" si="4"/>
        <v>13.61512225418288</v>
      </c>
      <c r="H9">
        <f t="shared" si="5"/>
        <v>3.7767857142857144</v>
      </c>
      <c r="I9">
        <v>1.75</v>
      </c>
      <c r="K9">
        <f t="shared" si="7"/>
        <v>3.27</v>
      </c>
      <c r="L9">
        <f t="shared" si="8"/>
        <v>1.88</v>
      </c>
      <c r="M9" t="str">
        <f t="shared" si="6"/>
        <v>execute if block ^3.27 ^ ^1.88 #main:canspawn run summon minecraft:husk ^3.27 ^ ^1.88 {CustomName:"{\"Name\":\"TEST\"}",Tags:[New,Time-,Mob,Enemy,Undead],Attributes:[{Name:generic.maxHealth,Base:1000000},{Name:generic.attackDamage,Base:0}],Health:1000000.0f,DeathLootTable:"minecraft:empty",DeathTime:19s}</v>
      </c>
    </row>
    <row r="10" spans="1:13" x14ac:dyDescent="0.4">
      <c r="A10">
        <f t="shared" si="0"/>
        <v>2.9605357541501816</v>
      </c>
      <c r="B10">
        <f t="shared" si="1"/>
        <v>-2.8467262772135311</v>
      </c>
      <c r="E10">
        <f t="shared" si="2"/>
        <v>0.72082609666265285</v>
      </c>
      <c r="F10">
        <f t="shared" si="3"/>
        <v>-0.69311596314764223</v>
      </c>
      <c r="G10">
        <f t="shared" si="4"/>
        <v>14.902969827243794</v>
      </c>
      <c r="H10">
        <f t="shared" si="5"/>
        <v>4.1071428571428577</v>
      </c>
      <c r="I10">
        <v>2</v>
      </c>
      <c r="K10">
        <f t="shared" si="7"/>
        <v>2.96</v>
      </c>
      <c r="L10">
        <f t="shared" si="8"/>
        <v>-2.85</v>
      </c>
      <c r="M10" t="str">
        <f t="shared" si="6"/>
        <v>execute if block ^2.96 ^ ^-2.85 #main:canspawn run summon minecraft:husk ^2.96 ^ ^-2.85 {CustomName:"{\"Name\":\"TEST\"}",Tags:[New,Time-,Mob,Enemy,Undead],Attributes:[{Name:generic.maxHealth,Base:1000000},{Name:generic.attackDamage,Base:0}],Health:1000000.0f,DeathLootTable:"minecraft:empty",DeathTime:19s}</v>
      </c>
    </row>
    <row r="11" spans="1:13" x14ac:dyDescent="0.4">
      <c r="A11">
        <f t="shared" si="0"/>
        <v>-1.8293712724403199</v>
      </c>
      <c r="B11">
        <f t="shared" si="1"/>
        <v>-4.0232628216739661</v>
      </c>
      <c r="E11">
        <f t="shared" si="2"/>
        <v>-0.41391834851174913</v>
      </c>
      <c r="F11">
        <f t="shared" si="3"/>
        <v>-0.91031401217673569</v>
      </c>
      <c r="G11">
        <f t="shared" si="4"/>
        <v>16.134717531490605</v>
      </c>
      <c r="H11">
        <f t="shared" si="5"/>
        <v>4.4196428571428577</v>
      </c>
      <c r="I11">
        <v>2.25</v>
      </c>
      <c r="K11">
        <f t="shared" si="7"/>
        <v>-1.83</v>
      </c>
      <c r="L11">
        <f t="shared" si="8"/>
        <v>-4.0199999999999996</v>
      </c>
      <c r="M11" t="str">
        <f t="shared" si="6"/>
        <v>execute if block ^-1.83 ^ ^-4.02 #main:canspawn run summon minecraft:husk ^-1.83 ^ ^-4.02 {CustomName:"{\"Name\":\"TEST\"}",Tags:[New,Time-,Mob,Enemy,Undead],Attributes:[{Name:generic.maxHealth,Base:1000000},{Name:generic.attackDamage,Base:0}],Health:1000000.0f,DeathLootTable:"minecraft:empty",DeathTime:19s}</v>
      </c>
    </row>
    <row r="12" spans="1:13" x14ac:dyDescent="0.4">
      <c r="A12">
        <f t="shared" si="0"/>
        <v>-4.7119313017458175</v>
      </c>
      <c r="B12">
        <f t="shared" si="1"/>
        <v>0.14897383510646928</v>
      </c>
      <c r="E12">
        <f t="shared" si="2"/>
        <v>-0.99950057915820378</v>
      </c>
      <c r="F12">
        <f t="shared" si="3"/>
        <v>3.1600510477129848E-2</v>
      </c>
      <c r="G12">
        <f t="shared" si="4"/>
        <v>17.31036536692331</v>
      </c>
      <c r="H12">
        <f t="shared" si="5"/>
        <v>4.7142857142857144</v>
      </c>
      <c r="I12">
        <v>2.5</v>
      </c>
      <c r="K12">
        <f t="shared" si="7"/>
        <v>-4.71</v>
      </c>
      <c r="L12">
        <f t="shared" si="8"/>
        <v>0.15</v>
      </c>
      <c r="M12" t="str">
        <f t="shared" si="6"/>
        <v>execute if block ^-4.71 ^ ^0.15 #main:canspawn run summon minecraft:husk ^-4.71 ^ ^0.15 {CustomName:"{\"Name\":\"TEST\"}",Tags:[New,Time-,Mob,Enemy,Undead],Attributes:[{Name:generic.maxHealth,Base:1000000},{Name:generic.attackDamage,Base:0}],Health:1000000.0f,DeathLootTable:"minecraft:empty",DeathTime:19s}</v>
      </c>
    </row>
    <row r="13" spans="1:13" x14ac:dyDescent="0.4">
      <c r="A13">
        <f t="shared" si="0"/>
        <v>-2.0335325861062805</v>
      </c>
      <c r="B13">
        <f t="shared" si="1"/>
        <v>4.5580192218052291</v>
      </c>
      <c r="E13">
        <f t="shared" si="2"/>
        <v>-0.40743407807496135</v>
      </c>
      <c r="F13">
        <f t="shared" si="3"/>
        <v>0.91323462046902615</v>
      </c>
      <c r="G13">
        <f t="shared" si="4"/>
        <v>18.429913333541915</v>
      </c>
      <c r="H13">
        <f t="shared" si="5"/>
        <v>4.9910714285714288</v>
      </c>
      <c r="I13">
        <v>2.75</v>
      </c>
      <c r="K13">
        <f t="shared" si="7"/>
        <v>-2.0299999999999998</v>
      </c>
      <c r="L13">
        <f t="shared" si="8"/>
        <v>4.5599999999999996</v>
      </c>
      <c r="M13" t="str">
        <f t="shared" si="6"/>
        <v>execute if block ^-2.03 ^ ^4.56 #main:canspawn run summon minecraft:husk ^-2.03 ^ ^4.56 {CustomName:"{\"Name\":\"TEST\"}",Tags:[New,Time-,Mob,Enemy,Undead],Attributes:[{Name:generic.maxHealth,Base:1000000},{Name:generic.attackDamage,Base:0}],Health:1000000.0f,DeathLootTable:"minecraft:empty",DeathTime:19s}</v>
      </c>
    </row>
    <row r="14" spans="1:13" x14ac:dyDescent="0.4">
      <c r="A14">
        <f t="shared" si="0"/>
        <v>3.1512783383011502</v>
      </c>
      <c r="B14">
        <f t="shared" si="1"/>
        <v>4.1990409422335881</v>
      </c>
      <c r="E14">
        <f t="shared" si="2"/>
        <v>0.60024349300974289</v>
      </c>
      <c r="F14">
        <f t="shared" si="3"/>
        <v>0.7998173223302073</v>
      </c>
      <c r="G14">
        <f t="shared" si="4"/>
        <v>19.493361431346415</v>
      </c>
      <c r="H14">
        <f t="shared" si="5"/>
        <v>5.25</v>
      </c>
      <c r="I14">
        <v>3</v>
      </c>
      <c r="K14">
        <f t="shared" si="7"/>
        <v>3.15</v>
      </c>
      <c r="L14">
        <f t="shared" si="8"/>
        <v>4.2</v>
      </c>
      <c r="M14" t="str">
        <f t="shared" si="6"/>
        <v>execute if block ^3.15 ^ ^4.2 #main:canspawn run summon minecraft:husk ^3.15 ^ ^4.2 {CustomName:"{\"Name\":\"TEST\"}",Tags:[New,Time-,Mob,Enemy,Undead],Attributes:[{Name:generic.maxHealth,Base:1000000},{Name:generic.attackDamage,Base:0}],Health:1000000.0f,DeathLootTable:"minecraft:empty",DeathTime:19s}</v>
      </c>
    </row>
    <row r="15" spans="1:13" x14ac:dyDescent="0.4">
      <c r="A15">
        <f t="shared" si="0"/>
        <v>5.473352181263091</v>
      </c>
      <c r="B15">
        <f t="shared" si="1"/>
        <v>-0.44077356265551826</v>
      </c>
      <c r="E15">
        <f t="shared" si="2"/>
        <v>0.99677308016498556</v>
      </c>
      <c r="F15">
        <f t="shared" si="3"/>
        <v>-8.0270957751899255E-2</v>
      </c>
      <c r="G15">
        <f t="shared" si="4"/>
        <v>20.50070966033681</v>
      </c>
      <c r="H15">
        <f t="shared" si="5"/>
        <v>5.4910714285714288</v>
      </c>
      <c r="I15">
        <v>3.25</v>
      </c>
      <c r="K15">
        <f t="shared" si="7"/>
        <v>5.47</v>
      </c>
      <c r="L15">
        <f t="shared" si="8"/>
        <v>-0.44</v>
      </c>
      <c r="M15" t="str">
        <f t="shared" si="6"/>
        <v>execute if block ^5.47 ^ ^-0.44 #main:canspawn run summon minecraft:husk ^5.47 ^ ^-0.44 {CustomName:"{\"Name\":\"TEST\"}",Tags:[New,Time-,Mob,Enemy,Undead],Attributes:[{Name:generic.maxHealth,Base:1000000},{Name:generic.attackDamage,Base:0}],Health:1000000.0f,DeathLootTable:"minecraft:empty",DeathTime:19s}</v>
      </c>
    </row>
    <row r="16" spans="1:13" x14ac:dyDescent="0.4">
      <c r="A16">
        <f t="shared" si="0"/>
        <v>2.9339517426519777</v>
      </c>
      <c r="B16">
        <f t="shared" si="1"/>
        <v>-4.903568944786973</v>
      </c>
      <c r="E16">
        <f t="shared" si="2"/>
        <v>0.51344155496409605</v>
      </c>
      <c r="F16">
        <f t="shared" si="3"/>
        <v>-0.85812456533772019</v>
      </c>
      <c r="G16">
        <f t="shared" si="4"/>
        <v>21.451958020513104</v>
      </c>
      <c r="H16">
        <f t="shared" si="5"/>
        <v>5.7142857142857144</v>
      </c>
      <c r="I16">
        <v>3.5</v>
      </c>
      <c r="K16">
        <f t="shared" si="7"/>
        <v>2.93</v>
      </c>
      <c r="L16">
        <f t="shared" si="8"/>
        <v>-4.9000000000000004</v>
      </c>
      <c r="M16" t="str">
        <f t="shared" si="6"/>
        <v>execute if block ^2.93 ^ ^-4.9 #main:canspawn run summon minecraft:husk ^2.93 ^ ^-4.9 {CustomName:"{\"Name\":\"TEST\"}",Tags:[New,Time-,Mob,Enemy,Undead],Attributes:[{Name:generic.maxHealth,Base:1000000},{Name:generic.attackDamage,Base:0}],Health:1000000.0f,DeathLootTable:"minecraft:empty",DeathTime:19s}</v>
      </c>
    </row>
    <row r="17" spans="1:13" x14ac:dyDescent="0.4">
      <c r="A17">
        <f t="shared" si="0"/>
        <v>-2.0629269367832124</v>
      </c>
      <c r="B17">
        <f t="shared" si="1"/>
        <v>-5.5485587326455041</v>
      </c>
      <c r="E17">
        <f t="shared" si="2"/>
        <v>-0.34848841164361954</v>
      </c>
      <c r="F17">
        <f t="shared" si="3"/>
        <v>-0.93731308907435362</v>
      </c>
      <c r="G17">
        <f t="shared" si="4"/>
        <v>22.347106511875296</v>
      </c>
      <c r="H17">
        <f t="shared" si="5"/>
        <v>5.9196428571428577</v>
      </c>
      <c r="I17">
        <v>3.75</v>
      </c>
      <c r="K17">
        <f t="shared" si="7"/>
        <v>-2.06</v>
      </c>
      <c r="L17">
        <f t="shared" si="8"/>
        <v>-5.55</v>
      </c>
      <c r="M17" t="str">
        <f t="shared" si="6"/>
        <v>execute if block ^-2.06 ^ ^-5.55 #main:canspawn run summon minecraft:husk ^-2.06 ^ ^-5.55 {CustomName:"{\"Name\":\"TEST\"}",Tags:[New,Time-,Mob,Enemy,Undead],Attributes:[{Name:generic.maxHealth,Base:1000000},{Name:generic.attackDamage,Base:0}],Health:1000000.0f,DeathLootTable:"minecraft:empty",DeathTime:19s}</v>
      </c>
    </row>
    <row r="18" spans="1:13" x14ac:dyDescent="0.4">
      <c r="A18">
        <f t="shared" si="0"/>
        <v>-5.6809745905391074</v>
      </c>
      <c r="B18">
        <f t="shared" si="1"/>
        <v>-2.2413660074160231</v>
      </c>
      <c r="E18">
        <f t="shared" si="2"/>
        <v>-0.93021806160874265</v>
      </c>
      <c r="F18">
        <f t="shared" si="3"/>
        <v>-0.36700729945993354</v>
      </c>
      <c r="G18">
        <f t="shared" si="4"/>
        <v>23.18615513442338</v>
      </c>
      <c r="H18">
        <f t="shared" si="5"/>
        <v>6.1071428571428577</v>
      </c>
      <c r="I18">
        <v>4</v>
      </c>
      <c r="K18">
        <f t="shared" si="7"/>
        <v>-5.68</v>
      </c>
      <c r="L18">
        <f t="shared" si="8"/>
        <v>-2.2400000000000002</v>
      </c>
      <c r="M18" t="str">
        <f t="shared" si="6"/>
        <v>execute if block ^-5.68 ^ ^-2.24 #main:canspawn run summon minecraft:husk ^-5.68 ^ ^-2.24 {CustomName:"{\"Name\":\"TEST\"}",Tags:[New,Time-,Mob,Enemy,Undead],Attributes:[{Name:generic.maxHealth,Base:1000000},{Name:generic.attackDamage,Base:0}],Health:1000000.0f,DeathLootTable:"minecraft:empty",DeathTime:19s}</v>
      </c>
    </row>
    <row r="19" spans="1:13" x14ac:dyDescent="0.4">
      <c r="A19">
        <f t="shared" si="0"/>
        <v>-5.7636558124876602</v>
      </c>
      <c r="B19">
        <f t="shared" si="1"/>
        <v>2.4856207631572511</v>
      </c>
      <c r="E19">
        <f t="shared" si="2"/>
        <v>-0.91824957467797719</v>
      </c>
      <c r="F19">
        <f t="shared" si="3"/>
        <v>0.39600216994823911</v>
      </c>
      <c r="G19">
        <f t="shared" si="4"/>
        <v>23.969103888157363</v>
      </c>
      <c r="H19">
        <f t="shared" si="5"/>
        <v>6.2767857142857144</v>
      </c>
      <c r="I19">
        <v>4.25</v>
      </c>
      <c r="K19">
        <f t="shared" si="7"/>
        <v>-5.76</v>
      </c>
      <c r="L19">
        <f t="shared" si="8"/>
        <v>2.4900000000000002</v>
      </c>
      <c r="M19" t="str">
        <f t="shared" si="6"/>
        <v>execute if block ^-5.76 ^ ^2.49 #main:canspawn run summon minecraft:husk ^-5.76 ^ ^2.49 {CustomName:"{\"Name\":\"TEST\"}",Tags:[New,Time-,Mob,Enemy,Undead],Attributes:[{Name:generic.maxHealth,Base:1000000},{Name:generic.attackDamage,Base:0}],Health:1000000.0f,DeathLootTable:"minecraft:empty",DeathTime:19s}</v>
      </c>
    </row>
    <row r="20" spans="1:13" x14ac:dyDescent="0.4">
      <c r="A20">
        <f t="shared" si="0"/>
        <v>-2.7194890075007949</v>
      </c>
      <c r="B20">
        <f t="shared" si="1"/>
        <v>5.8250244763715147</v>
      </c>
      <c r="E20">
        <f t="shared" si="2"/>
        <v>-0.42303162338901251</v>
      </c>
      <c r="F20">
        <f t="shared" si="3"/>
        <v>0.90611491854668003</v>
      </c>
      <c r="G20">
        <f t="shared" si="4"/>
        <v>24.695952773077241</v>
      </c>
      <c r="H20">
        <f t="shared" si="5"/>
        <v>6.4285714285714288</v>
      </c>
      <c r="I20">
        <v>4.5</v>
      </c>
      <c r="K20">
        <f t="shared" si="7"/>
        <v>-2.72</v>
      </c>
      <c r="L20">
        <f t="shared" si="8"/>
        <v>5.83</v>
      </c>
      <c r="M20" t="str">
        <f t="shared" si="6"/>
        <v>execute if block ^-2.72 ^ ^5.83 #main:canspawn run summon minecraft:husk ^-2.72 ^ ^5.83 {CustomName:"{\"Name\":\"TEST\"}",Tags:[New,Time-,Mob,Enemy,Undead],Attributes:[{Name:generic.maxHealth,Base:1000000},{Name:generic.attackDamage,Base:0}],Health:1000000.0f,DeathLootTable:"minecraft:empty",DeathTime:19s}</v>
      </c>
    </row>
    <row r="21" spans="1:13" x14ac:dyDescent="0.4">
      <c r="A21">
        <f t="shared" ref="A21:A30" si="9">E21*H21</f>
        <v>1.521397434726756</v>
      </c>
      <c r="B21">
        <f t="shared" ref="B21:B30" si="10">F21*H21</f>
        <v>6.3837102139435213</v>
      </c>
      <c r="E21">
        <f t="shared" ref="E21:E30" si="11">SIN(G21)</f>
        <v>0.23183199005360092</v>
      </c>
      <c r="F21">
        <f t="shared" ref="F21:F31" si="12">COS(G21)</f>
        <v>0.9727558421247271</v>
      </c>
      <c r="G21">
        <f t="shared" si="4"/>
        <v>25.366701789183018</v>
      </c>
      <c r="H21">
        <f t="shared" si="5"/>
        <v>6.5625</v>
      </c>
      <c r="I21">
        <v>4.75</v>
      </c>
      <c r="K21">
        <f t="shared" si="7"/>
        <v>1.52</v>
      </c>
      <c r="L21">
        <f t="shared" si="8"/>
        <v>6.38</v>
      </c>
      <c r="M21" t="str">
        <f t="shared" si="6"/>
        <v>execute if block ^1.52 ^ ^6.38 #main:canspawn run summon minecraft:husk ^1.52 ^ ^6.38 {CustomName:"{\"Name\":\"TEST\"}",Tags:[New,Time-,Mob,Enemy,Undead],Attributes:[{Name:generic.maxHealth,Base:1000000},{Name:generic.attackDamage,Base:0}],Health:1000000.0f,DeathLootTable:"minecraft:empty",DeathTime:19s}</v>
      </c>
    </row>
    <row r="22" spans="1:13" x14ac:dyDescent="0.4">
      <c r="A22">
        <f t="shared" si="9"/>
        <v>5.0113469483120578</v>
      </c>
      <c r="B22">
        <f t="shared" si="10"/>
        <v>4.4147160826234382</v>
      </c>
      <c r="E22">
        <f t="shared" si="11"/>
        <v>0.75036210990768781</v>
      </c>
      <c r="F22">
        <f t="shared" si="12"/>
        <v>0.66102700702383033</v>
      </c>
      <c r="G22">
        <f t="shared" si="4"/>
        <v>25.981350936474691</v>
      </c>
      <c r="H22">
        <f t="shared" si="5"/>
        <v>6.6785714285714288</v>
      </c>
      <c r="I22">
        <v>5</v>
      </c>
      <c r="K22">
        <f t="shared" si="7"/>
        <v>5.01</v>
      </c>
      <c r="L22">
        <f t="shared" si="8"/>
        <v>4.41</v>
      </c>
      <c r="M22" t="str">
        <f t="shared" si="6"/>
        <v>execute if block ^5.01 ^ ^4.41 #main:canspawn run summon minecraft:husk ^5.01 ^ ^4.41 {CustomName:"{\"Name\":\"TEST\"}",Tags:[New,Time-,Mob,Enemy,Undead],Attributes:[{Name:generic.maxHealth,Base:1000000},{Name:generic.attackDamage,Base:0}],Health:1000000.0f,DeathLootTable:"minecraft:empty",DeathTime:19s}</v>
      </c>
    </row>
    <row r="23" spans="1:13" x14ac:dyDescent="0.4">
      <c r="A23">
        <f t="shared" si="9"/>
        <v>6.6862563922030995</v>
      </c>
      <c r="B23">
        <f t="shared" si="10"/>
        <v>1.1039927875987845</v>
      </c>
      <c r="E23">
        <f t="shared" si="11"/>
        <v>0.98664125945552983</v>
      </c>
      <c r="F23">
        <f t="shared" si="12"/>
        <v>0.16290802662854265</v>
      </c>
      <c r="G23">
        <f t="shared" si="4"/>
        <v>26.539900214952258</v>
      </c>
      <c r="H23">
        <f t="shared" si="5"/>
        <v>6.7767857142857144</v>
      </c>
      <c r="I23">
        <v>5.25</v>
      </c>
      <c r="K23">
        <f t="shared" si="7"/>
        <v>6.69</v>
      </c>
      <c r="L23">
        <f t="shared" si="8"/>
        <v>1.1000000000000001</v>
      </c>
      <c r="M23" t="str">
        <f t="shared" si="6"/>
        <v>execute if block ^6.69 ^ ^1.1 #main:canspawn run summon minecraft:husk ^6.69 ^ ^1.1 {CustomName:"{\"Name\":\"TEST\"}",Tags:[New,Time-,Mob,Enemy,Undead],Attributes:[{Name:generic.maxHealth,Base:1000000},{Name:generic.attackDamage,Base:0}],Health:1000000.0f,DeathLootTable:"minecraft:empty",DeathTime:19s}</v>
      </c>
    </row>
    <row r="24" spans="1:13" x14ac:dyDescent="0.4">
      <c r="A24">
        <f t="shared" si="9"/>
        <v>6.4673153818817024</v>
      </c>
      <c r="B24">
        <f t="shared" si="10"/>
        <v>-2.2790875179645096</v>
      </c>
      <c r="E24">
        <f t="shared" si="11"/>
        <v>0.9431501598577483</v>
      </c>
      <c r="F24">
        <f t="shared" si="12"/>
        <v>-0.33236692970315768</v>
      </c>
      <c r="G24">
        <f t="shared" si="4"/>
        <v>27.042349624615724</v>
      </c>
      <c r="H24">
        <f t="shared" si="5"/>
        <v>6.8571428571428568</v>
      </c>
      <c r="I24">
        <v>5.5</v>
      </c>
      <c r="K24">
        <f t="shared" si="7"/>
        <v>6.47</v>
      </c>
      <c r="L24">
        <f t="shared" si="8"/>
        <v>-2.2799999999999998</v>
      </c>
      <c r="M24" t="str">
        <f t="shared" si="6"/>
        <v>execute if block ^6.47 ^ ^-2.28 #main:canspawn run summon minecraft:husk ^6.47 ^ ^-2.28 {CustomName:"{\"Name\":\"TEST\"}",Tags:[New,Time-,Mob,Enemy,Undead],Attributes:[{Name:generic.maxHealth,Base:1000000},{Name:generic.attackDamage,Base:0}],Health:1000000.0f,DeathLootTable:"minecraft:empty",DeathTime:19s}</v>
      </c>
    </row>
    <row r="25" spans="1:13" x14ac:dyDescent="0.4">
      <c r="A25">
        <f t="shared" si="9"/>
        <v>4.894083689362029</v>
      </c>
      <c r="B25">
        <f t="shared" si="10"/>
        <v>-4.8917688121914251</v>
      </c>
      <c r="E25">
        <f t="shared" si="11"/>
        <v>0.70727402994651267</v>
      </c>
      <c r="F25">
        <f t="shared" si="12"/>
        <v>-0.70693949285863178</v>
      </c>
      <c r="G25">
        <f t="shared" si="4"/>
        <v>27.488699165465086</v>
      </c>
      <c r="H25">
        <f t="shared" si="5"/>
        <v>6.9196428571428568</v>
      </c>
      <c r="I25">
        <v>5.75</v>
      </c>
      <c r="K25">
        <f t="shared" si="7"/>
        <v>4.8899999999999997</v>
      </c>
      <c r="L25">
        <f t="shared" si="8"/>
        <v>-4.8899999999999997</v>
      </c>
      <c r="M25" t="str">
        <f t="shared" si="6"/>
        <v>execute if block ^4.89 ^ ^-4.89 #main:canspawn run summon minecraft:husk ^4.89 ^ ^-4.89 {CustomName:"{\"Name\":\"TEST\"}",Tags:[New,Time-,Mob,Enemy,Undead],Attributes:[{Name:generic.maxHealth,Base:1000000},{Name:generic.attackDamage,Base:0}],Health:1000000.0f,DeathLootTable:"minecraft:empty",DeathTime:19s}</v>
      </c>
    </row>
    <row r="26" spans="1:13" x14ac:dyDescent="0.4">
      <c r="A26">
        <f t="shared" si="9"/>
        <v>2.6823890458981139</v>
      </c>
      <c r="B26">
        <f t="shared" si="10"/>
        <v>-6.4269794240101543</v>
      </c>
      <c r="E26">
        <f t="shared" si="11"/>
        <v>0.38516355530844709</v>
      </c>
      <c r="F26">
        <f t="shared" si="12"/>
        <v>-0.92284832755017598</v>
      </c>
      <c r="G26">
        <f t="shared" si="4"/>
        <v>27.878948837500346</v>
      </c>
      <c r="H26">
        <f t="shared" si="5"/>
        <v>6.9642857142857144</v>
      </c>
      <c r="I26">
        <v>6</v>
      </c>
      <c r="K26">
        <f t="shared" si="7"/>
        <v>2.68</v>
      </c>
      <c r="L26">
        <f t="shared" si="8"/>
        <v>-6.43</v>
      </c>
      <c r="M26" t="str">
        <f t="shared" si="6"/>
        <v>execute if block ^2.68 ^ ^-6.43 #main:canspawn run summon minecraft:husk ^2.68 ^ ^-6.43 {CustomName:"{\"Name\":\"TEST\"}",Tags:[New,Time-,Mob,Enemy,Undead],Attributes:[{Name:generic.maxHealth,Base:1000000},{Name:generic.attackDamage,Base:0}],Health:1000000.0f,DeathLootTable:"minecraft:empty",DeathTime:19s}</v>
      </c>
    </row>
    <row r="27" spans="1:13" x14ac:dyDescent="0.4">
      <c r="A27">
        <f t="shared" si="9"/>
        <v>0.42783245306166345</v>
      </c>
      <c r="B27">
        <f t="shared" si="10"/>
        <v>-6.9779681219890222</v>
      </c>
      <c r="E27">
        <f t="shared" si="11"/>
        <v>6.1196979237428228E-2</v>
      </c>
      <c r="F27">
        <f t="shared" si="12"/>
        <v>-0.99812570838157144</v>
      </c>
      <c r="G27">
        <f t="shared" si="4"/>
        <v>28.213098640721501</v>
      </c>
      <c r="H27">
        <f t="shared" si="5"/>
        <v>6.9910714285714288</v>
      </c>
      <c r="I27">
        <v>6.25</v>
      </c>
      <c r="K27">
        <f t="shared" si="7"/>
        <v>0.43</v>
      </c>
      <c r="L27">
        <f t="shared" si="8"/>
        <v>-6.98</v>
      </c>
      <c r="M27" t="str">
        <f t="shared" si="6"/>
        <v>execute if block ^0.43 ^ ^-6.98 #main:canspawn run summon minecraft:husk ^0.43 ^ ^-6.98 {CustomName:"{\"Name\":\"TEST\"}",Tags:[New,Time-,Mob,Enemy,Undead],Attributes:[{Name:generic.maxHealth,Base:1000000},{Name:generic.attackDamage,Base:0}],Health:1000000.0f,DeathLootTable:"minecraft:empty",DeathTime:19s}</v>
      </c>
    </row>
    <row r="28" spans="1:13" x14ac:dyDescent="0.4">
      <c r="A28">
        <f t="shared" si="9"/>
        <v>-1.5058399166147027</v>
      </c>
      <c r="B28">
        <f t="shared" si="10"/>
        <v>-6.8361133800961662</v>
      </c>
      <c r="E28">
        <f t="shared" si="11"/>
        <v>-0.21511998808781468</v>
      </c>
      <c r="F28">
        <f t="shared" si="12"/>
        <v>-0.97658762572802371</v>
      </c>
      <c r="G28">
        <f t="shared" si="4"/>
        <v>28.491148575128552</v>
      </c>
      <c r="H28">
        <f t="shared" si="5"/>
        <v>7</v>
      </c>
      <c r="I28">
        <v>6.5</v>
      </c>
      <c r="K28">
        <f t="shared" si="7"/>
        <v>-1.51</v>
      </c>
      <c r="L28">
        <f t="shared" si="8"/>
        <v>-6.84</v>
      </c>
      <c r="M28" t="str">
        <f t="shared" si="6"/>
        <v>execute if block ^-1.51 ^ ^-6.84 #main:canspawn run summon minecraft:husk ^-1.51 ^ ^-6.84 {CustomName:"{\"Name\":\"TEST\"}",Tags:[New,Time-,Mob,Enemy,Undead],Attributes:[{Name:generic.maxHealth,Base:1000000},{Name:generic.attackDamage,Base:0}],Health:1000000.0f,DeathLootTable:"minecraft:empty",DeathTime:19s}</v>
      </c>
    </row>
    <row r="29" spans="1:13" x14ac:dyDescent="0.4">
      <c r="A29">
        <f t="shared" si="9"/>
        <v>-2.9699578250298484</v>
      </c>
      <c r="B29">
        <f t="shared" si="10"/>
        <v>-6.3288569455259243</v>
      </c>
      <c r="E29">
        <f t="shared" si="11"/>
        <v>-0.42482155351640233</v>
      </c>
      <c r="F29">
        <f t="shared" si="12"/>
        <v>-0.90527711098199681</v>
      </c>
      <c r="G29">
        <f t="shared" si="4"/>
        <v>28.713098640721501</v>
      </c>
      <c r="H29">
        <f t="shared" si="5"/>
        <v>6.9910714285714288</v>
      </c>
      <c r="I29">
        <v>6.75</v>
      </c>
      <c r="K29">
        <f t="shared" si="7"/>
        <v>-2.97</v>
      </c>
      <c r="L29">
        <f t="shared" si="8"/>
        <v>-6.33</v>
      </c>
      <c r="M29" t="str">
        <f t="shared" si="6"/>
        <v>execute if block ^-2.97 ^ ^-6.33 #main:canspawn run summon minecraft:husk ^-2.97 ^ ^-6.33 {CustomName:"{\"Name\":\"TEST\"}",Tags:[New,Time-,Mob,Enemy,Undead],Attributes:[{Name:generic.maxHealth,Base:1000000},{Name:generic.attackDamage,Base:0}],Health:1000000.0f,DeathLootTable:"minecraft:empty",DeathTime:19s}</v>
      </c>
    </row>
    <row r="30" spans="1:13" x14ac:dyDescent="0.4">
      <c r="A30">
        <f t="shared" si="9"/>
        <v>-3.9588157185277213</v>
      </c>
      <c r="B30">
        <f t="shared" si="10"/>
        <v>-5.7296643546495742</v>
      </c>
      <c r="E30">
        <f t="shared" si="11"/>
        <v>-0.56844533394244201</v>
      </c>
      <c r="F30">
        <f t="shared" si="12"/>
        <v>-0.82272103553942599</v>
      </c>
      <c r="G30">
        <f t="shared" si="4"/>
        <v>28.878948837500346</v>
      </c>
      <c r="H30">
        <f t="shared" si="5"/>
        <v>6.9642857142857144</v>
      </c>
      <c r="I30">
        <v>7</v>
      </c>
      <c r="K30">
        <f t="shared" si="7"/>
        <v>-3.96</v>
      </c>
      <c r="L30">
        <f t="shared" si="8"/>
        <v>-5.73</v>
      </c>
      <c r="M30" t="str">
        <f t="shared" si="6"/>
        <v>execute if block ^-3.96 ^ ^-5.73 #main:canspawn run summon minecraft:husk ^-3.96 ^ ^-5.73 {CustomName:"{\"Name\":\"TEST\"}",Tags:[New,Time-,Mob,Enemy,Undead],Attributes:[{Name:generic.maxHealth,Base:1000000},{Name:generic.attackDamage,Base:0}],Health:1000000.0f,DeathLootTable:"minecraft:empty",DeathTime:19s}</v>
      </c>
    </row>
    <row r="31" spans="1:13" x14ac:dyDescent="0.4">
      <c r="A31">
        <f t="shared" ref="A31" si="13">E31*H31</f>
        <v>-5.2532873714846771</v>
      </c>
      <c r="B31">
        <f t="shared" ref="B31" si="14">F31*H31</f>
        <v>-4.5721162827298807</v>
      </c>
      <c r="E31">
        <f t="shared" ref="E31" si="15">SIN(G31)</f>
        <v>-0.75431818667472283</v>
      </c>
      <c r="F31">
        <f t="shared" si="12"/>
        <v>-0.6565090046996751</v>
      </c>
      <c r="G31">
        <f t="shared" ref="G31" si="16">PI()*H31+I31</f>
        <v>29.128948837500346</v>
      </c>
      <c r="H31">
        <f t="shared" si="5"/>
        <v>6.9642857142857144</v>
      </c>
      <c r="I31">
        <v>7.25</v>
      </c>
      <c r="K31">
        <f t="shared" ref="K31" si="17">ROUND(A31,2)</f>
        <v>-5.25</v>
      </c>
      <c r="L31">
        <f t="shared" ref="L31" si="18">ROUND(B31,2)</f>
        <v>-4.57</v>
      </c>
      <c r="M31" t="str">
        <f t="shared" ref="M31" si="19">"execute if block ^" &amp; K31 &amp; " ^ ^" &amp; L31 &amp; " #main:canspawn run summon minecraft:husk ^"  &amp; K31 &amp; " ^ ^" &amp; L31 &amp; " {CustomName:""{\""Name\"":\""TEST\""}"",Tags:[New,Time-,Mob,Enemy,Undead],Attributes:[{Name:generic.maxHealth,Base:1000000},{Name:generic.attackDamage,Base:0}],Health:1000000.0f,DeathLootTable:""minecraft:empty"",DeathTime:19s}"</f>
        <v>execute if block ^-5.25 ^ ^-4.57 #main:canspawn run summon minecraft:husk ^-5.25 ^ ^-4.57 {CustomName:"{\"Name\":\"TEST\"}",Tags:[New,Time-,Mob,Enemy,Undead],Attributes:[{Name:generic.maxHealth,Base:1000000},{Name:generic.attackDamage,Base:0}],Health:1000000.0f,DeathLootTable:"minecraft:empty",DeathTime:19s}</v>
      </c>
    </row>
    <row r="32" spans="1:13" x14ac:dyDescent="0.4">
      <c r="A32">
        <v>1</v>
      </c>
      <c r="D32">
        <v>0.9</v>
      </c>
      <c r="I32">
        <v>7.5</v>
      </c>
    </row>
    <row r="33" spans="1:9" x14ac:dyDescent="0.4">
      <c r="A33">
        <v>0</v>
      </c>
      <c r="C33">
        <v>0.4</v>
      </c>
      <c r="I33">
        <v>7.5</v>
      </c>
    </row>
    <row r="34" spans="1:9" x14ac:dyDescent="0.4">
      <c r="A34">
        <v>1.4</v>
      </c>
      <c r="C34">
        <v>-2.1</v>
      </c>
    </row>
    <row r="35" spans="1:9" x14ac:dyDescent="0.4">
      <c r="A35">
        <v>-1.7</v>
      </c>
      <c r="C35">
        <v>-2.6</v>
      </c>
    </row>
    <row r="36" spans="1:9" x14ac:dyDescent="0.4">
      <c r="A36">
        <v>-2.8</v>
      </c>
      <c r="C36">
        <v>1.9</v>
      </c>
    </row>
    <row r="37" spans="1:9" x14ac:dyDescent="0.4">
      <c r="A37">
        <v>1.7</v>
      </c>
      <c r="C37">
        <v>3</v>
      </c>
    </row>
    <row r="38" spans="1:9" x14ac:dyDescent="0.4">
      <c r="A38">
        <v>3.8</v>
      </c>
      <c r="C38">
        <v>-1.5</v>
      </c>
    </row>
    <row r="39" spans="1:9" x14ac:dyDescent="0.4">
      <c r="A39">
        <v>0.7</v>
      </c>
      <c r="C39">
        <v>-4.7</v>
      </c>
    </row>
    <row r="40" spans="1:9" x14ac:dyDescent="0.4">
      <c r="A40">
        <v>-3.8</v>
      </c>
      <c r="C40">
        <v>-3.6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A60A4-9955-4019-82C5-DF484C50E489}">
  <sheetPr codeName="Sheet3"/>
  <dimension ref="A1:N101"/>
  <sheetViews>
    <sheetView tabSelected="1" workbookViewId="0">
      <selection activeCell="E2" sqref="E2"/>
    </sheetView>
  </sheetViews>
  <sheetFormatPr defaultRowHeight="18.75" x14ac:dyDescent="0.4"/>
  <cols>
    <col min="1" max="1" width="17.375" bestFit="1" customWidth="1"/>
    <col min="2" max="2" width="11.375" bestFit="1" customWidth="1"/>
    <col min="3" max="3" width="11.25" bestFit="1" customWidth="1"/>
    <col min="4" max="4" width="13" bestFit="1" customWidth="1"/>
    <col min="5" max="5" width="6.5" bestFit="1" customWidth="1"/>
    <col min="6" max="6" width="15.375" bestFit="1" customWidth="1"/>
    <col min="7" max="7" width="10.25" bestFit="1" customWidth="1"/>
    <col min="8" max="8" width="14.375" bestFit="1" customWidth="1"/>
    <col min="9" max="9" width="12" bestFit="1" customWidth="1"/>
    <col min="10" max="10" width="12.875" bestFit="1" customWidth="1"/>
    <col min="11" max="14" width="14.375" bestFit="1" customWidth="1"/>
  </cols>
  <sheetData>
    <row r="1" spans="1:14" ht="19.5" thickBot="1" x14ac:dyDescent="0.3">
      <c r="A1" s="3" t="s">
        <v>24</v>
      </c>
      <c r="B1" s="4" t="s">
        <v>25</v>
      </c>
      <c r="C1" s="5" t="s">
        <v>26</v>
      </c>
      <c r="D1" s="5" t="s">
        <v>27</v>
      </c>
      <c r="E1" s="6" t="s">
        <v>28</v>
      </c>
      <c r="F1" s="7" t="s">
        <v>29</v>
      </c>
      <c r="G1" s="8" t="s">
        <v>30</v>
      </c>
      <c r="H1" s="9" t="s">
        <v>31</v>
      </c>
      <c r="I1" s="4" t="s">
        <v>32</v>
      </c>
      <c r="J1" s="8" t="s">
        <v>33</v>
      </c>
      <c r="K1" s="10" t="s">
        <v>34</v>
      </c>
      <c r="L1" s="10" t="s">
        <v>35</v>
      </c>
      <c r="M1" s="10" t="s">
        <v>36</v>
      </c>
      <c r="N1" s="10" t="s">
        <v>37</v>
      </c>
    </row>
    <row r="2" spans="1:14" ht="19.5" thickBot="1" x14ac:dyDescent="0.3">
      <c r="A2" s="11">
        <v>100</v>
      </c>
      <c r="B2" s="12">
        <v>1758</v>
      </c>
      <c r="C2" s="13">
        <v>10186</v>
      </c>
      <c r="D2" s="13">
        <v>1288</v>
      </c>
      <c r="E2" s="11">
        <v>44831</v>
      </c>
      <c r="F2" s="14">
        <v>0</v>
      </c>
      <c r="G2" s="12">
        <v>7283</v>
      </c>
      <c r="H2" s="12">
        <v>8749</v>
      </c>
      <c r="I2" s="12">
        <v>3</v>
      </c>
      <c r="J2" s="12">
        <v>1749</v>
      </c>
      <c r="K2" s="12">
        <v>51129</v>
      </c>
      <c r="L2" s="12">
        <v>1758</v>
      </c>
      <c r="M2" s="12">
        <v>1758</v>
      </c>
      <c r="N2" s="12">
        <v>54452</v>
      </c>
    </row>
    <row r="3" spans="1:14" ht="19.5" thickBot="1" x14ac:dyDescent="0.3">
      <c r="A3" s="11">
        <v>99</v>
      </c>
      <c r="B3" s="12">
        <v>1678</v>
      </c>
      <c r="C3" s="13">
        <v>9796</v>
      </c>
      <c r="D3" s="13">
        <v>1241</v>
      </c>
      <c r="E3" s="11">
        <v>42093</v>
      </c>
      <c r="F3" s="14">
        <v>13029</v>
      </c>
      <c r="G3" s="12">
        <v>6964</v>
      </c>
      <c r="H3" s="12">
        <v>8348</v>
      </c>
      <c r="I3" s="12">
        <v>3</v>
      </c>
      <c r="J3" s="12">
        <v>1669</v>
      </c>
      <c r="K3" s="12">
        <v>47681</v>
      </c>
      <c r="L3" s="12">
        <v>1678</v>
      </c>
      <c r="M3" s="12">
        <v>1678</v>
      </c>
      <c r="N3" s="12">
        <v>50764</v>
      </c>
    </row>
    <row r="4" spans="1:14" ht="19.5" thickBot="1" x14ac:dyDescent="0.3">
      <c r="A4" s="11">
        <v>98</v>
      </c>
      <c r="B4" s="12">
        <v>1601</v>
      </c>
      <c r="C4" s="13">
        <v>9420</v>
      </c>
      <c r="D4" s="13">
        <v>1196</v>
      </c>
      <c r="E4" s="11">
        <v>39519</v>
      </c>
      <c r="F4" s="14">
        <v>13170</v>
      </c>
      <c r="G4" s="12">
        <v>6658</v>
      </c>
      <c r="H4" s="12">
        <v>7965</v>
      </c>
      <c r="I4" s="12">
        <v>3</v>
      </c>
      <c r="J4" s="12">
        <v>1593</v>
      </c>
      <c r="K4" s="12">
        <v>44461</v>
      </c>
      <c r="L4" s="12">
        <v>1601</v>
      </c>
      <c r="M4" s="12">
        <v>1601</v>
      </c>
      <c r="N4" s="12">
        <v>47321</v>
      </c>
    </row>
    <row r="5" spans="1:14" ht="19.5" thickBot="1" x14ac:dyDescent="0.3">
      <c r="A5" s="11">
        <v>97</v>
      </c>
      <c r="B5" s="12">
        <v>1527</v>
      </c>
      <c r="C5" s="13">
        <v>9058</v>
      </c>
      <c r="D5" s="13">
        <v>1152</v>
      </c>
      <c r="E5" s="11">
        <v>37098</v>
      </c>
      <c r="F5" s="14">
        <v>13293</v>
      </c>
      <c r="G5" s="12">
        <v>6364</v>
      </c>
      <c r="H5" s="12">
        <v>7599</v>
      </c>
      <c r="I5" s="12">
        <v>3</v>
      </c>
      <c r="J5" s="12">
        <v>1520</v>
      </c>
      <c r="K5" s="12">
        <v>41455</v>
      </c>
      <c r="L5" s="12">
        <v>1527</v>
      </c>
      <c r="M5" s="12">
        <v>1527</v>
      </c>
      <c r="N5" s="12">
        <v>44108</v>
      </c>
    </row>
    <row r="6" spans="1:14" ht="19.5" thickBot="1" x14ac:dyDescent="0.3">
      <c r="A6" s="11">
        <v>96</v>
      </c>
      <c r="B6" s="12">
        <v>1457</v>
      </c>
      <c r="C6" s="13">
        <v>8709</v>
      </c>
      <c r="D6" s="13">
        <v>1110</v>
      </c>
      <c r="E6" s="11">
        <v>34823</v>
      </c>
      <c r="F6" s="14">
        <v>13396</v>
      </c>
      <c r="G6" s="12">
        <v>6084</v>
      </c>
      <c r="H6" s="12">
        <v>7249</v>
      </c>
      <c r="I6" s="12">
        <v>3</v>
      </c>
      <c r="J6" s="12">
        <v>1450</v>
      </c>
      <c r="K6" s="12">
        <v>38649</v>
      </c>
      <c r="L6" s="12">
        <v>1457</v>
      </c>
      <c r="M6" s="12">
        <v>1457</v>
      </c>
      <c r="N6" s="12">
        <v>41109</v>
      </c>
    </row>
    <row r="7" spans="1:14" ht="19.5" thickBot="1" x14ac:dyDescent="0.3">
      <c r="A7" s="11">
        <v>95</v>
      </c>
      <c r="B7" s="12">
        <v>1390</v>
      </c>
      <c r="C7" s="13">
        <v>8372</v>
      </c>
      <c r="D7" s="13">
        <v>1069</v>
      </c>
      <c r="E7" s="11">
        <v>32684</v>
      </c>
      <c r="F7" s="14">
        <v>13483</v>
      </c>
      <c r="G7" s="12">
        <v>5815</v>
      </c>
      <c r="H7" s="12">
        <v>6915</v>
      </c>
      <c r="I7" s="12">
        <v>3</v>
      </c>
      <c r="J7" s="12">
        <v>1383</v>
      </c>
      <c r="K7" s="12">
        <v>36028</v>
      </c>
      <c r="L7" s="12">
        <v>1390</v>
      </c>
      <c r="M7" s="12">
        <v>1390</v>
      </c>
      <c r="N7" s="12">
        <v>38310</v>
      </c>
    </row>
    <row r="8" spans="1:14" ht="19.5" thickBot="1" x14ac:dyDescent="0.3">
      <c r="A8" s="11">
        <v>94</v>
      </c>
      <c r="B8" s="12">
        <v>1325</v>
      </c>
      <c r="C8" s="13">
        <v>8048</v>
      </c>
      <c r="D8" s="13">
        <v>1030</v>
      </c>
      <c r="E8" s="11">
        <v>30673</v>
      </c>
      <c r="F8" s="14">
        <v>13549</v>
      </c>
      <c r="G8" s="12">
        <v>5557</v>
      </c>
      <c r="H8" s="12">
        <v>6595</v>
      </c>
      <c r="I8" s="12">
        <v>3</v>
      </c>
      <c r="J8" s="12">
        <v>1320</v>
      </c>
      <c r="K8" s="12">
        <v>33582</v>
      </c>
      <c r="L8" s="12">
        <v>1325</v>
      </c>
      <c r="M8" s="12">
        <v>1325</v>
      </c>
      <c r="N8" s="12">
        <v>35699</v>
      </c>
    </row>
    <row r="9" spans="1:14" ht="19.5" thickBot="1" x14ac:dyDescent="0.3">
      <c r="A9" s="11">
        <v>93</v>
      </c>
      <c r="B9" s="12">
        <v>1264</v>
      </c>
      <c r="C9" s="13">
        <v>7735</v>
      </c>
      <c r="D9" s="13">
        <v>992</v>
      </c>
      <c r="E9" s="11">
        <v>28784</v>
      </c>
      <c r="F9" s="14">
        <v>13598</v>
      </c>
      <c r="G9" s="12">
        <v>5310</v>
      </c>
      <c r="H9" s="12">
        <v>6289</v>
      </c>
      <c r="I9" s="12">
        <v>3</v>
      </c>
      <c r="J9" s="12">
        <v>1259</v>
      </c>
      <c r="K9" s="12">
        <v>31299</v>
      </c>
      <c r="L9" s="12">
        <v>1264</v>
      </c>
      <c r="M9" s="12">
        <v>1264</v>
      </c>
      <c r="N9" s="12">
        <v>33262</v>
      </c>
    </row>
    <row r="10" spans="1:14" ht="19.5" thickBot="1" x14ac:dyDescent="0.3">
      <c r="A10" s="11">
        <v>92</v>
      </c>
      <c r="B10" s="12">
        <v>1205</v>
      </c>
      <c r="C10" s="13">
        <v>7434</v>
      </c>
      <c r="D10" s="13">
        <v>956</v>
      </c>
      <c r="E10" s="11">
        <v>27007</v>
      </c>
      <c r="F10" s="14">
        <v>13627</v>
      </c>
      <c r="G10" s="12">
        <v>5074</v>
      </c>
      <c r="H10" s="12">
        <v>5997</v>
      </c>
      <c r="I10" s="12">
        <v>3</v>
      </c>
      <c r="J10" s="12">
        <v>1201</v>
      </c>
      <c r="K10" s="12">
        <v>29168</v>
      </c>
      <c r="L10" s="12">
        <v>1205</v>
      </c>
      <c r="M10" s="12">
        <v>1205</v>
      </c>
      <c r="N10" s="12">
        <v>30988</v>
      </c>
    </row>
    <row r="11" spans="1:14" ht="19.5" thickBot="1" x14ac:dyDescent="0.3">
      <c r="A11" s="11">
        <v>91</v>
      </c>
      <c r="B11" s="12">
        <v>1149</v>
      </c>
      <c r="C11" s="13">
        <v>7144</v>
      </c>
      <c r="D11" s="13">
        <v>921</v>
      </c>
      <c r="E11" s="11">
        <v>25338</v>
      </c>
      <c r="F11" s="14">
        <v>13639</v>
      </c>
      <c r="G11" s="12">
        <v>4848</v>
      </c>
      <c r="H11" s="12">
        <v>5718</v>
      </c>
      <c r="I11" s="12">
        <v>3</v>
      </c>
      <c r="J11" s="12">
        <v>1145</v>
      </c>
      <c r="K11" s="12">
        <v>27179</v>
      </c>
      <c r="L11" s="12">
        <v>1149</v>
      </c>
      <c r="M11" s="12">
        <v>1149</v>
      </c>
      <c r="N11" s="12">
        <v>28866</v>
      </c>
    </row>
    <row r="12" spans="1:14" ht="19.5" thickBot="1" x14ac:dyDescent="0.3">
      <c r="A12" s="11">
        <v>90</v>
      </c>
      <c r="B12" s="12">
        <v>1096</v>
      </c>
      <c r="C12" s="13">
        <v>6864</v>
      </c>
      <c r="D12" s="13">
        <v>887</v>
      </c>
      <c r="E12" s="11">
        <v>23770</v>
      </c>
      <c r="F12" s="14">
        <v>13633</v>
      </c>
      <c r="G12" s="12">
        <v>4631</v>
      </c>
      <c r="H12" s="12">
        <v>5451</v>
      </c>
      <c r="I12" s="12">
        <v>3</v>
      </c>
      <c r="J12" s="12">
        <v>1092</v>
      </c>
      <c r="K12" s="12">
        <v>25323</v>
      </c>
      <c r="L12" s="12">
        <v>1096</v>
      </c>
      <c r="M12" s="12">
        <v>1096</v>
      </c>
      <c r="N12" s="12">
        <v>26887</v>
      </c>
    </row>
    <row r="13" spans="1:14" ht="19.5" thickBot="1" x14ac:dyDescent="0.3">
      <c r="A13" s="11">
        <v>89</v>
      </c>
      <c r="B13" s="12">
        <v>1045</v>
      </c>
      <c r="C13" s="13">
        <v>6595</v>
      </c>
      <c r="D13" s="13">
        <v>854</v>
      </c>
      <c r="E13" s="11">
        <v>22296</v>
      </c>
      <c r="F13" s="14">
        <v>13609</v>
      </c>
      <c r="G13" s="12">
        <v>4424</v>
      </c>
      <c r="H13" s="12">
        <v>5197</v>
      </c>
      <c r="I13" s="12">
        <v>3</v>
      </c>
      <c r="J13" s="12">
        <v>1041</v>
      </c>
      <c r="K13" s="12">
        <v>23591</v>
      </c>
      <c r="L13" s="12">
        <v>1045</v>
      </c>
      <c r="M13" s="12">
        <v>1045</v>
      </c>
      <c r="N13" s="12">
        <v>25041</v>
      </c>
    </row>
    <row r="14" spans="1:14" ht="19.5" thickBot="1" x14ac:dyDescent="0.3">
      <c r="A14" s="11">
        <v>88</v>
      </c>
      <c r="B14" s="12">
        <v>996</v>
      </c>
      <c r="C14" s="13">
        <v>6335</v>
      </c>
      <c r="D14" s="13">
        <v>822</v>
      </c>
      <c r="E14" s="11">
        <v>20911</v>
      </c>
      <c r="F14" s="14">
        <v>13569</v>
      </c>
      <c r="G14" s="12">
        <v>4225</v>
      </c>
      <c r="H14" s="12">
        <v>4953</v>
      </c>
      <c r="I14" s="12">
        <v>3</v>
      </c>
      <c r="J14" s="12">
        <v>993</v>
      </c>
      <c r="K14" s="12">
        <v>21975</v>
      </c>
      <c r="L14" s="12">
        <v>996</v>
      </c>
      <c r="M14" s="12">
        <v>996</v>
      </c>
      <c r="N14" s="12">
        <v>23319</v>
      </c>
    </row>
    <row r="15" spans="1:14" ht="19.5" thickBot="1" x14ac:dyDescent="0.3">
      <c r="A15" s="11">
        <v>87</v>
      </c>
      <c r="B15" s="12">
        <v>949</v>
      </c>
      <c r="C15" s="13">
        <v>6085</v>
      </c>
      <c r="D15" s="13">
        <v>792</v>
      </c>
      <c r="E15" s="11">
        <v>19610</v>
      </c>
      <c r="F15" s="14">
        <v>13512</v>
      </c>
      <c r="G15" s="12">
        <v>4035</v>
      </c>
      <c r="H15" s="12">
        <v>4720</v>
      </c>
      <c r="I15" s="12">
        <v>3</v>
      </c>
      <c r="J15" s="12">
        <v>947</v>
      </c>
      <c r="K15" s="12">
        <v>20467</v>
      </c>
      <c r="L15" s="12">
        <v>949</v>
      </c>
      <c r="M15" s="12">
        <v>949</v>
      </c>
      <c r="N15" s="12">
        <v>21713</v>
      </c>
    </row>
    <row r="16" spans="1:14" ht="19.5" thickBot="1" x14ac:dyDescent="0.3">
      <c r="A16" s="15">
        <v>86</v>
      </c>
      <c r="B16" s="12">
        <v>905</v>
      </c>
      <c r="C16" s="16">
        <v>5845</v>
      </c>
      <c r="D16" s="16">
        <v>762</v>
      </c>
      <c r="E16" s="15">
        <v>18388</v>
      </c>
      <c r="F16" s="17">
        <v>13440</v>
      </c>
      <c r="G16" s="12">
        <v>3853</v>
      </c>
      <c r="H16" s="12">
        <v>4498</v>
      </c>
      <c r="I16" s="12">
        <v>3</v>
      </c>
      <c r="J16" s="12">
        <v>902</v>
      </c>
      <c r="K16" s="12">
        <v>19060</v>
      </c>
      <c r="L16" s="12">
        <v>905</v>
      </c>
      <c r="M16" s="12">
        <v>905</v>
      </c>
      <c r="N16" s="12">
        <v>20215</v>
      </c>
    </row>
    <row r="17" spans="1:14" ht="19.5" thickBot="1" x14ac:dyDescent="0.3">
      <c r="A17" s="15">
        <v>85</v>
      </c>
      <c r="B17" s="12">
        <v>862</v>
      </c>
      <c r="C17" s="16">
        <v>5613</v>
      </c>
      <c r="D17" s="16">
        <v>734</v>
      </c>
      <c r="E17" s="15">
        <v>17240</v>
      </c>
      <c r="F17" s="17">
        <v>13352</v>
      </c>
      <c r="G17" s="12">
        <v>3678</v>
      </c>
      <c r="H17" s="12">
        <v>4286</v>
      </c>
      <c r="I17" s="12">
        <v>3</v>
      </c>
      <c r="J17" s="12">
        <v>860</v>
      </c>
      <c r="K17" s="12">
        <v>17748</v>
      </c>
      <c r="L17" s="12">
        <v>862</v>
      </c>
      <c r="M17" s="12">
        <v>862</v>
      </c>
      <c r="N17" s="12">
        <v>18819</v>
      </c>
    </row>
    <row r="18" spans="1:14" ht="19.5" thickBot="1" x14ac:dyDescent="0.3">
      <c r="A18" s="15">
        <v>84</v>
      </c>
      <c r="B18" s="12">
        <v>822</v>
      </c>
      <c r="C18" s="16">
        <v>5389</v>
      </c>
      <c r="D18" s="16">
        <v>707</v>
      </c>
      <c r="E18" s="15">
        <v>16161</v>
      </c>
      <c r="F18" s="17">
        <v>13250</v>
      </c>
      <c r="G18" s="12">
        <v>3511</v>
      </c>
      <c r="H18" s="12">
        <v>4083</v>
      </c>
      <c r="I18" s="12">
        <v>3</v>
      </c>
      <c r="J18" s="12">
        <v>820</v>
      </c>
      <c r="K18" s="12">
        <v>16524</v>
      </c>
      <c r="L18" s="12">
        <v>822</v>
      </c>
      <c r="M18" s="12">
        <v>822</v>
      </c>
      <c r="N18" s="12">
        <v>17516</v>
      </c>
    </row>
    <row r="19" spans="1:14" ht="19.5" thickBot="1" x14ac:dyDescent="0.3">
      <c r="A19" s="15">
        <v>83</v>
      </c>
      <c r="B19" s="12">
        <v>783</v>
      </c>
      <c r="C19" s="16">
        <v>5174</v>
      </c>
      <c r="D19" s="16">
        <v>680</v>
      </c>
      <c r="E19" s="15">
        <v>15149</v>
      </c>
      <c r="F19" s="17">
        <v>13132</v>
      </c>
      <c r="G19" s="12">
        <v>3352</v>
      </c>
      <c r="H19" s="12">
        <v>3889</v>
      </c>
      <c r="I19" s="12">
        <v>3</v>
      </c>
      <c r="J19" s="12">
        <v>781</v>
      </c>
      <c r="K19" s="12">
        <v>15383</v>
      </c>
      <c r="L19" s="12">
        <v>783</v>
      </c>
      <c r="M19" s="12">
        <v>783</v>
      </c>
      <c r="N19" s="12">
        <v>16302</v>
      </c>
    </row>
    <row r="20" spans="1:14" ht="19.5" thickBot="1" x14ac:dyDescent="0.3">
      <c r="A20" s="15">
        <v>82</v>
      </c>
      <c r="B20" s="12">
        <v>746</v>
      </c>
      <c r="C20" s="16">
        <v>4967</v>
      </c>
      <c r="D20" s="16">
        <v>655</v>
      </c>
      <c r="E20" s="15">
        <v>14198</v>
      </c>
      <c r="F20" s="17">
        <v>13006</v>
      </c>
      <c r="G20" s="12">
        <v>3199</v>
      </c>
      <c r="H20" s="12">
        <v>3705</v>
      </c>
      <c r="I20" s="12">
        <v>3</v>
      </c>
      <c r="J20" s="12">
        <v>744</v>
      </c>
      <c r="K20" s="12">
        <v>14318</v>
      </c>
      <c r="L20" s="12">
        <v>746</v>
      </c>
      <c r="M20" s="12">
        <v>746</v>
      </c>
      <c r="N20" s="12">
        <v>15170</v>
      </c>
    </row>
    <row r="21" spans="1:14" ht="19.5" thickBot="1" x14ac:dyDescent="0.3">
      <c r="A21" s="15">
        <v>81</v>
      </c>
      <c r="B21" s="12">
        <v>711</v>
      </c>
      <c r="C21" s="16">
        <v>4768</v>
      </c>
      <c r="D21" s="16">
        <v>630</v>
      </c>
      <c r="E21" s="15">
        <v>13304</v>
      </c>
      <c r="F21" s="17">
        <v>12863</v>
      </c>
      <c r="G21" s="12">
        <v>3053</v>
      </c>
      <c r="H21" s="12">
        <v>3528</v>
      </c>
      <c r="I21" s="12">
        <v>3</v>
      </c>
      <c r="J21" s="12">
        <v>709</v>
      </c>
      <c r="K21" s="12">
        <v>13326</v>
      </c>
      <c r="L21" s="12">
        <v>711</v>
      </c>
      <c r="M21" s="12">
        <v>711</v>
      </c>
      <c r="N21" s="12">
        <v>14115</v>
      </c>
    </row>
    <row r="22" spans="1:14" ht="19.5" thickBot="1" x14ac:dyDescent="0.3">
      <c r="A22" s="15">
        <v>80</v>
      </c>
      <c r="B22" s="12">
        <v>677</v>
      </c>
      <c r="C22" s="16">
        <v>4576</v>
      </c>
      <c r="D22" s="16">
        <v>607</v>
      </c>
      <c r="E22" s="15">
        <v>12466</v>
      </c>
      <c r="F22" s="17">
        <v>12712</v>
      </c>
      <c r="G22" s="12">
        <v>2913</v>
      </c>
      <c r="H22" s="12">
        <v>3359</v>
      </c>
      <c r="I22" s="12">
        <v>3</v>
      </c>
      <c r="J22" s="12">
        <v>676</v>
      </c>
      <c r="K22" s="12">
        <v>12400</v>
      </c>
      <c r="L22" s="12">
        <v>677</v>
      </c>
      <c r="M22" s="12">
        <v>677</v>
      </c>
      <c r="N22" s="12">
        <v>13131</v>
      </c>
    </row>
    <row r="23" spans="1:14" ht="19.5" thickBot="1" x14ac:dyDescent="0.3">
      <c r="A23" s="15">
        <v>79</v>
      </c>
      <c r="B23" s="12">
        <v>645</v>
      </c>
      <c r="C23" s="16">
        <v>4391</v>
      </c>
      <c r="D23" s="16">
        <v>584</v>
      </c>
      <c r="E23" s="15">
        <v>11679</v>
      </c>
      <c r="F23" s="17">
        <v>12549</v>
      </c>
      <c r="G23" s="12">
        <v>2779</v>
      </c>
      <c r="H23" s="12">
        <v>3198</v>
      </c>
      <c r="I23" s="12">
        <v>3</v>
      </c>
      <c r="J23" s="12">
        <v>644</v>
      </c>
      <c r="K23" s="12">
        <v>11537</v>
      </c>
      <c r="L23" s="12">
        <v>645</v>
      </c>
      <c r="M23" s="12">
        <v>645</v>
      </c>
      <c r="N23" s="12">
        <v>12215</v>
      </c>
    </row>
    <row r="24" spans="1:14" ht="19.5" thickBot="1" x14ac:dyDescent="0.3">
      <c r="A24" s="15">
        <v>78</v>
      </c>
      <c r="B24" s="12">
        <v>614</v>
      </c>
      <c r="C24" s="16">
        <v>4213</v>
      </c>
      <c r="D24" s="16">
        <v>562</v>
      </c>
      <c r="E24" s="15">
        <v>10940</v>
      </c>
      <c r="F24" s="17">
        <v>12377</v>
      </c>
      <c r="G24" s="12">
        <v>2651</v>
      </c>
      <c r="H24" s="12">
        <v>3044</v>
      </c>
      <c r="I24" s="12">
        <v>3</v>
      </c>
      <c r="J24" s="12">
        <v>613</v>
      </c>
      <c r="K24" s="12">
        <v>10733</v>
      </c>
      <c r="L24" s="12">
        <v>614</v>
      </c>
      <c r="M24" s="12">
        <v>614</v>
      </c>
      <c r="N24" s="12">
        <v>11360</v>
      </c>
    </row>
    <row r="25" spans="1:14" ht="19.5" thickBot="1" x14ac:dyDescent="0.3">
      <c r="A25" s="15">
        <v>77</v>
      </c>
      <c r="B25" s="12">
        <v>584</v>
      </c>
      <c r="C25" s="16">
        <v>4041</v>
      </c>
      <c r="D25" s="16">
        <v>540</v>
      </c>
      <c r="E25" s="15">
        <v>10246</v>
      </c>
      <c r="F25" s="17">
        <v>12192</v>
      </c>
      <c r="G25" s="12">
        <v>2528</v>
      </c>
      <c r="H25" s="12">
        <v>2898</v>
      </c>
      <c r="I25" s="12">
        <v>3</v>
      </c>
      <c r="J25" s="12">
        <v>584</v>
      </c>
      <c r="K25" s="12">
        <v>9983</v>
      </c>
      <c r="L25" s="12">
        <v>584</v>
      </c>
      <c r="M25" s="12">
        <v>584</v>
      </c>
      <c r="N25" s="12">
        <v>10564</v>
      </c>
    </row>
    <row r="26" spans="1:14" ht="19.5" thickBot="1" x14ac:dyDescent="0.3">
      <c r="A26" s="15">
        <v>76</v>
      </c>
      <c r="B26" s="12">
        <v>556</v>
      </c>
      <c r="C26" s="16">
        <v>3876</v>
      </c>
      <c r="D26" s="16">
        <v>520</v>
      </c>
      <c r="E26" s="15">
        <v>9595</v>
      </c>
      <c r="F26" s="17">
        <v>12004</v>
      </c>
      <c r="G26" s="12">
        <v>2411</v>
      </c>
      <c r="H26" s="12">
        <v>2757</v>
      </c>
      <c r="I26" s="12">
        <v>3</v>
      </c>
      <c r="J26" s="12">
        <v>556</v>
      </c>
      <c r="K26" s="12">
        <v>9284</v>
      </c>
      <c r="L26" s="12">
        <v>556</v>
      </c>
      <c r="M26" s="12">
        <v>556</v>
      </c>
      <c r="N26" s="12">
        <v>9823</v>
      </c>
    </row>
    <row r="27" spans="1:14" ht="19.5" thickBot="1" x14ac:dyDescent="0.3">
      <c r="A27" s="15">
        <v>75</v>
      </c>
      <c r="B27" s="12">
        <v>530</v>
      </c>
      <c r="C27" s="16">
        <v>3717</v>
      </c>
      <c r="D27" s="16">
        <v>500</v>
      </c>
      <c r="E27" s="15">
        <v>8984</v>
      </c>
      <c r="F27" s="17">
        <v>11804</v>
      </c>
      <c r="G27" s="12">
        <v>2299</v>
      </c>
      <c r="H27" s="12">
        <v>2624</v>
      </c>
      <c r="I27" s="12">
        <v>3</v>
      </c>
      <c r="J27" s="12">
        <v>529</v>
      </c>
      <c r="K27" s="12">
        <v>8633</v>
      </c>
      <c r="L27" s="12">
        <v>530</v>
      </c>
      <c r="M27" s="12">
        <v>530</v>
      </c>
      <c r="N27" s="12">
        <v>9132</v>
      </c>
    </row>
    <row r="28" spans="1:14" ht="19.5" thickBot="1" x14ac:dyDescent="0.3">
      <c r="A28" s="15">
        <v>74</v>
      </c>
      <c r="B28" s="12">
        <v>504</v>
      </c>
      <c r="C28" s="16">
        <v>3565</v>
      </c>
      <c r="D28" s="16">
        <v>481</v>
      </c>
      <c r="E28" s="15">
        <v>8410</v>
      </c>
      <c r="F28" s="17">
        <v>11601</v>
      </c>
      <c r="G28" s="12">
        <v>2192</v>
      </c>
      <c r="H28" s="12">
        <v>2496</v>
      </c>
      <c r="I28" s="12">
        <v>3</v>
      </c>
      <c r="J28" s="12">
        <v>504</v>
      </c>
      <c r="K28" s="12">
        <v>8026</v>
      </c>
      <c r="L28" s="12">
        <v>504</v>
      </c>
      <c r="M28" s="12">
        <v>504</v>
      </c>
      <c r="N28" s="12">
        <v>8488</v>
      </c>
    </row>
    <row r="29" spans="1:14" ht="19.5" thickBot="1" x14ac:dyDescent="0.3">
      <c r="A29" s="15">
        <v>73</v>
      </c>
      <c r="B29" s="12">
        <v>480</v>
      </c>
      <c r="C29" s="16">
        <v>3418</v>
      </c>
      <c r="D29" s="16">
        <v>463</v>
      </c>
      <c r="E29" s="15">
        <v>7872</v>
      </c>
      <c r="F29" s="17">
        <v>11388</v>
      </c>
      <c r="G29" s="12">
        <v>2089</v>
      </c>
      <c r="H29" s="12">
        <v>2374</v>
      </c>
      <c r="I29" s="12">
        <v>3</v>
      </c>
      <c r="J29" s="12">
        <v>480</v>
      </c>
      <c r="K29" s="12">
        <v>7460</v>
      </c>
      <c r="L29" s="12">
        <v>480</v>
      </c>
      <c r="M29" s="12">
        <v>480</v>
      </c>
      <c r="N29" s="12">
        <v>7888</v>
      </c>
    </row>
    <row r="30" spans="1:14" ht="19.5" thickBot="1" x14ac:dyDescent="0.3">
      <c r="A30" s="15">
        <v>72</v>
      </c>
      <c r="B30" s="12">
        <v>456</v>
      </c>
      <c r="C30" s="16">
        <v>3276</v>
      </c>
      <c r="D30" s="16">
        <v>445</v>
      </c>
      <c r="E30" s="15">
        <v>7367</v>
      </c>
      <c r="F30" s="17">
        <v>11170</v>
      </c>
      <c r="G30" s="12">
        <v>1991</v>
      </c>
      <c r="H30" s="12">
        <v>2258</v>
      </c>
      <c r="I30" s="12">
        <v>3</v>
      </c>
      <c r="J30" s="12">
        <v>457</v>
      </c>
      <c r="K30" s="12">
        <v>6934</v>
      </c>
      <c r="L30" s="12">
        <v>456</v>
      </c>
      <c r="M30" s="12">
        <v>456</v>
      </c>
      <c r="N30" s="12">
        <v>7330</v>
      </c>
    </row>
    <row r="31" spans="1:14" ht="19.5" thickBot="1" x14ac:dyDescent="0.3">
      <c r="A31" s="15">
        <v>71</v>
      </c>
      <c r="B31" s="12">
        <v>434</v>
      </c>
      <c r="C31" s="16">
        <v>3140</v>
      </c>
      <c r="D31" s="16">
        <v>428</v>
      </c>
      <c r="E31" s="15">
        <v>6894</v>
      </c>
      <c r="F31" s="17">
        <v>10949</v>
      </c>
      <c r="G31" s="12">
        <v>1897</v>
      </c>
      <c r="H31" s="12">
        <v>2147</v>
      </c>
      <c r="I31" s="12">
        <v>3</v>
      </c>
      <c r="J31" s="12">
        <v>434</v>
      </c>
      <c r="K31" s="12">
        <v>6443</v>
      </c>
      <c r="L31" s="12">
        <v>434</v>
      </c>
      <c r="M31" s="12">
        <v>434</v>
      </c>
      <c r="N31" s="12">
        <v>6810</v>
      </c>
    </row>
    <row r="32" spans="1:14" ht="19.5" thickBot="1" x14ac:dyDescent="0.3">
      <c r="A32" s="15">
        <v>70</v>
      </c>
      <c r="B32" s="12">
        <v>413</v>
      </c>
      <c r="C32" s="16">
        <v>3009</v>
      </c>
      <c r="D32" s="16">
        <v>412</v>
      </c>
      <c r="E32" s="15">
        <v>6449</v>
      </c>
      <c r="F32" s="17">
        <v>10720</v>
      </c>
      <c r="G32" s="12">
        <v>1807</v>
      </c>
      <c r="H32" s="12">
        <v>2041</v>
      </c>
      <c r="I32" s="12">
        <v>3</v>
      </c>
      <c r="J32" s="12">
        <v>413</v>
      </c>
      <c r="K32" s="12">
        <v>5986</v>
      </c>
      <c r="L32" s="12">
        <v>413</v>
      </c>
      <c r="M32" s="12">
        <v>413</v>
      </c>
      <c r="N32" s="12">
        <v>6326</v>
      </c>
    </row>
    <row r="33" spans="1:14" ht="19.5" thickBot="1" x14ac:dyDescent="0.3">
      <c r="A33" s="15">
        <v>69</v>
      </c>
      <c r="B33" s="12">
        <v>393</v>
      </c>
      <c r="C33" s="16">
        <v>2883</v>
      </c>
      <c r="D33" s="16">
        <v>396</v>
      </c>
      <c r="E33" s="15">
        <v>6033</v>
      </c>
      <c r="F33" s="17">
        <v>10487</v>
      </c>
      <c r="G33" s="12">
        <v>1722</v>
      </c>
      <c r="H33" s="12">
        <v>1940</v>
      </c>
      <c r="I33" s="12">
        <v>3</v>
      </c>
      <c r="J33" s="12">
        <v>393</v>
      </c>
      <c r="K33" s="12">
        <v>5560</v>
      </c>
      <c r="L33" s="12">
        <v>393</v>
      </c>
      <c r="M33" s="12">
        <v>393</v>
      </c>
      <c r="N33" s="12">
        <v>5875</v>
      </c>
    </row>
    <row r="34" spans="1:14" ht="19.5" thickBot="1" x14ac:dyDescent="0.3">
      <c r="A34" s="15">
        <v>68</v>
      </c>
      <c r="B34" s="12">
        <v>374</v>
      </c>
      <c r="C34" s="16">
        <v>2761</v>
      </c>
      <c r="D34" s="16">
        <v>381</v>
      </c>
      <c r="E34" s="15">
        <v>5642</v>
      </c>
      <c r="F34" s="17">
        <v>10255</v>
      </c>
      <c r="G34" s="12">
        <v>1640</v>
      </c>
      <c r="H34" s="12">
        <v>1844</v>
      </c>
      <c r="I34" s="12">
        <v>3</v>
      </c>
      <c r="J34" s="12">
        <v>374</v>
      </c>
      <c r="K34" s="12">
        <v>5164</v>
      </c>
      <c r="L34" s="12">
        <v>374</v>
      </c>
      <c r="M34" s="12">
        <v>374</v>
      </c>
      <c r="N34" s="12">
        <v>5455</v>
      </c>
    </row>
    <row r="35" spans="1:14" ht="19.5" thickBot="1" x14ac:dyDescent="0.3">
      <c r="A35" s="15">
        <v>67</v>
      </c>
      <c r="B35" s="12">
        <v>355</v>
      </c>
      <c r="C35" s="16">
        <v>2645</v>
      </c>
      <c r="D35" s="16">
        <v>366</v>
      </c>
      <c r="E35" s="15">
        <v>5276</v>
      </c>
      <c r="F35" s="17">
        <v>10014</v>
      </c>
      <c r="G35" s="12">
        <v>1561</v>
      </c>
      <c r="H35" s="12">
        <v>1752</v>
      </c>
      <c r="I35" s="12">
        <v>2</v>
      </c>
      <c r="J35" s="12">
        <v>356</v>
      </c>
      <c r="K35" s="12">
        <v>4795</v>
      </c>
      <c r="L35" s="12">
        <v>355</v>
      </c>
      <c r="M35" s="12">
        <v>355</v>
      </c>
      <c r="N35" s="12">
        <v>5065</v>
      </c>
    </row>
    <row r="36" spans="1:14" ht="19.5" thickBot="1" x14ac:dyDescent="0.3">
      <c r="A36" s="15">
        <v>66</v>
      </c>
      <c r="B36" s="12">
        <v>338</v>
      </c>
      <c r="C36" s="16">
        <v>2533</v>
      </c>
      <c r="D36" s="16">
        <v>352</v>
      </c>
      <c r="E36" s="15">
        <v>4932</v>
      </c>
      <c r="F36" s="17">
        <v>9773</v>
      </c>
      <c r="G36" s="12">
        <v>1486</v>
      </c>
      <c r="H36" s="12">
        <v>1665</v>
      </c>
      <c r="I36" s="12">
        <v>2</v>
      </c>
      <c r="J36" s="12">
        <v>338</v>
      </c>
      <c r="K36" s="12">
        <v>4451</v>
      </c>
      <c r="L36" s="12">
        <v>338</v>
      </c>
      <c r="M36" s="12">
        <v>338</v>
      </c>
      <c r="N36" s="12">
        <v>4701</v>
      </c>
    </row>
    <row r="37" spans="1:14" ht="19.5" thickBot="1" x14ac:dyDescent="0.3">
      <c r="A37" s="15">
        <v>65</v>
      </c>
      <c r="B37" s="12">
        <v>321</v>
      </c>
      <c r="C37" s="16">
        <v>2425</v>
      </c>
      <c r="D37" s="16">
        <v>338</v>
      </c>
      <c r="E37" s="15">
        <v>4610</v>
      </c>
      <c r="F37" s="17">
        <v>9532</v>
      </c>
      <c r="G37" s="12">
        <v>1415</v>
      </c>
      <c r="H37" s="12">
        <v>1581</v>
      </c>
      <c r="I37" s="12">
        <v>2</v>
      </c>
      <c r="J37" s="12">
        <v>322</v>
      </c>
      <c r="K37" s="12">
        <v>4132</v>
      </c>
      <c r="L37" s="12">
        <v>321</v>
      </c>
      <c r="M37" s="12">
        <v>321</v>
      </c>
      <c r="N37" s="12">
        <v>4363</v>
      </c>
    </row>
    <row r="38" spans="1:14" ht="19.5" thickBot="1" x14ac:dyDescent="0.3">
      <c r="A38" s="15">
        <v>64</v>
      </c>
      <c r="B38" s="12">
        <v>305</v>
      </c>
      <c r="C38" s="16">
        <v>2321</v>
      </c>
      <c r="D38" s="16">
        <v>325</v>
      </c>
      <c r="E38" s="15">
        <v>4308</v>
      </c>
      <c r="F38" s="17">
        <v>9283</v>
      </c>
      <c r="G38" s="12">
        <v>1346</v>
      </c>
      <c r="H38" s="12">
        <v>1501</v>
      </c>
      <c r="I38" s="12">
        <v>2</v>
      </c>
      <c r="J38" s="12">
        <v>306</v>
      </c>
      <c r="K38" s="12">
        <v>3834</v>
      </c>
      <c r="L38" s="12">
        <v>305</v>
      </c>
      <c r="M38" s="12">
        <v>305</v>
      </c>
      <c r="N38" s="12">
        <v>4048</v>
      </c>
    </row>
    <row r="39" spans="1:14" ht="19.5" thickBot="1" x14ac:dyDescent="0.3">
      <c r="A39" s="15">
        <v>63</v>
      </c>
      <c r="B39" s="12">
        <v>290</v>
      </c>
      <c r="C39" s="16">
        <v>2221</v>
      </c>
      <c r="D39" s="16">
        <v>312</v>
      </c>
      <c r="E39" s="15">
        <v>4025</v>
      </c>
      <c r="F39" s="17">
        <v>9032</v>
      </c>
      <c r="G39" s="12">
        <v>1281</v>
      </c>
      <c r="H39" s="12">
        <v>1426</v>
      </c>
      <c r="I39" s="12">
        <v>2</v>
      </c>
      <c r="J39" s="12">
        <v>291</v>
      </c>
      <c r="K39" s="12">
        <v>3557</v>
      </c>
      <c r="L39" s="12">
        <v>290</v>
      </c>
      <c r="M39" s="12">
        <v>290</v>
      </c>
      <c r="N39" s="12">
        <v>3755</v>
      </c>
    </row>
    <row r="40" spans="1:14" ht="19.5" thickBot="1" x14ac:dyDescent="0.3">
      <c r="A40" s="15">
        <v>62</v>
      </c>
      <c r="B40" s="12">
        <v>275</v>
      </c>
      <c r="C40" s="16">
        <v>2125</v>
      </c>
      <c r="D40" s="16">
        <v>300</v>
      </c>
      <c r="E40" s="15">
        <v>3760</v>
      </c>
      <c r="F40" s="17">
        <v>8781</v>
      </c>
      <c r="G40" s="12">
        <v>1219</v>
      </c>
      <c r="H40" s="12">
        <v>1353</v>
      </c>
      <c r="I40" s="12">
        <v>2</v>
      </c>
      <c r="J40" s="12">
        <v>276</v>
      </c>
      <c r="K40" s="12">
        <v>3299</v>
      </c>
      <c r="L40" s="12">
        <v>275</v>
      </c>
      <c r="M40" s="12">
        <v>275</v>
      </c>
      <c r="N40" s="12">
        <v>3483</v>
      </c>
    </row>
    <row r="41" spans="1:14" ht="19.5" thickBot="1" x14ac:dyDescent="0.3">
      <c r="A41" s="15">
        <v>61</v>
      </c>
      <c r="B41" s="12">
        <v>262</v>
      </c>
      <c r="C41" s="16">
        <v>2033</v>
      </c>
      <c r="D41" s="16">
        <v>288</v>
      </c>
      <c r="E41" s="15">
        <v>3512</v>
      </c>
      <c r="F41" s="17">
        <v>8525</v>
      </c>
      <c r="G41" s="12">
        <v>1159</v>
      </c>
      <c r="H41" s="12">
        <v>1284</v>
      </c>
      <c r="I41" s="12">
        <v>2</v>
      </c>
      <c r="J41" s="12">
        <v>263</v>
      </c>
      <c r="K41" s="12">
        <v>3060</v>
      </c>
      <c r="L41" s="12">
        <v>262</v>
      </c>
      <c r="M41" s="12">
        <v>262</v>
      </c>
      <c r="N41" s="12">
        <v>3230</v>
      </c>
    </row>
    <row r="42" spans="1:14" ht="19.5" thickBot="1" x14ac:dyDescent="0.3">
      <c r="A42" s="15">
        <v>60</v>
      </c>
      <c r="B42" s="12">
        <v>248</v>
      </c>
      <c r="C42" s="16">
        <v>1944</v>
      </c>
      <c r="D42" s="16">
        <v>277</v>
      </c>
      <c r="E42" s="15">
        <v>3279</v>
      </c>
      <c r="F42" s="17">
        <v>8265</v>
      </c>
      <c r="G42" s="12">
        <v>1102</v>
      </c>
      <c r="H42" s="12">
        <v>1218</v>
      </c>
      <c r="I42" s="12">
        <v>2</v>
      </c>
      <c r="J42" s="12">
        <v>249</v>
      </c>
      <c r="K42" s="12">
        <v>2837</v>
      </c>
      <c r="L42" s="12">
        <v>248</v>
      </c>
      <c r="M42" s="12">
        <v>248</v>
      </c>
      <c r="N42" s="12">
        <v>2994</v>
      </c>
    </row>
    <row r="43" spans="1:14" ht="19.5" thickBot="1" x14ac:dyDescent="0.3">
      <c r="A43" s="15">
        <v>59</v>
      </c>
      <c r="B43" s="12">
        <v>236</v>
      </c>
      <c r="C43" s="16">
        <v>1859</v>
      </c>
      <c r="D43" s="16">
        <v>266</v>
      </c>
      <c r="E43" s="15">
        <v>3061</v>
      </c>
      <c r="F43" s="17">
        <v>7996</v>
      </c>
      <c r="G43" s="12">
        <v>1048</v>
      </c>
      <c r="H43" s="12">
        <v>1156</v>
      </c>
      <c r="I43" s="12">
        <v>2</v>
      </c>
      <c r="J43" s="12">
        <v>237</v>
      </c>
      <c r="K43" s="12">
        <v>2629</v>
      </c>
      <c r="L43" s="12">
        <v>236</v>
      </c>
      <c r="M43" s="12">
        <v>236</v>
      </c>
      <c r="N43" s="12">
        <v>2775</v>
      </c>
    </row>
    <row r="44" spans="1:14" ht="19.5" thickBot="1" x14ac:dyDescent="0.3">
      <c r="A44" s="15">
        <v>58</v>
      </c>
      <c r="B44" s="12">
        <v>224</v>
      </c>
      <c r="C44" s="16">
        <v>1777</v>
      </c>
      <c r="D44" s="16">
        <v>255</v>
      </c>
      <c r="E44" s="15">
        <v>2857</v>
      </c>
      <c r="F44" s="17">
        <v>7703</v>
      </c>
      <c r="G44" s="12">
        <v>996</v>
      </c>
      <c r="H44" s="12">
        <v>1096</v>
      </c>
      <c r="I44" s="12">
        <v>2</v>
      </c>
      <c r="J44" s="12">
        <v>225</v>
      </c>
      <c r="K44" s="12">
        <v>2437</v>
      </c>
      <c r="L44" s="12">
        <v>224</v>
      </c>
      <c r="M44" s="12">
        <v>224</v>
      </c>
      <c r="N44" s="12">
        <v>2571</v>
      </c>
    </row>
    <row r="45" spans="1:14" ht="19.5" thickBot="1" x14ac:dyDescent="0.3">
      <c r="A45" s="15">
        <v>57</v>
      </c>
      <c r="B45" s="12">
        <v>212</v>
      </c>
      <c r="C45" s="16">
        <v>1698</v>
      </c>
      <c r="D45" s="16">
        <v>245</v>
      </c>
      <c r="E45" s="15">
        <v>2665</v>
      </c>
      <c r="F45" s="17">
        <v>7413</v>
      </c>
      <c r="G45" s="12">
        <v>946</v>
      </c>
      <c r="H45" s="12">
        <v>1039</v>
      </c>
      <c r="I45" s="12">
        <v>2</v>
      </c>
      <c r="J45" s="12">
        <v>214</v>
      </c>
      <c r="K45" s="12">
        <v>2257</v>
      </c>
      <c r="L45" s="12">
        <v>212</v>
      </c>
      <c r="M45" s="12">
        <v>212</v>
      </c>
      <c r="N45" s="12">
        <v>2382</v>
      </c>
    </row>
    <row r="46" spans="1:14" ht="19.5" thickBot="1" x14ac:dyDescent="0.3">
      <c r="A46" s="15">
        <v>56</v>
      </c>
      <c r="B46" s="12">
        <v>202</v>
      </c>
      <c r="C46" s="16">
        <v>1623</v>
      </c>
      <c r="D46" s="16">
        <v>236</v>
      </c>
      <c r="E46" s="15">
        <v>2486</v>
      </c>
      <c r="F46" s="17">
        <v>7134</v>
      </c>
      <c r="G46" s="12">
        <v>899</v>
      </c>
      <c r="H46" s="12">
        <v>985</v>
      </c>
      <c r="I46" s="12">
        <v>2</v>
      </c>
      <c r="J46" s="12">
        <v>203</v>
      </c>
      <c r="K46" s="12">
        <v>2091</v>
      </c>
      <c r="L46" s="12">
        <v>202</v>
      </c>
      <c r="M46" s="12">
        <v>202</v>
      </c>
      <c r="N46" s="12">
        <v>2206</v>
      </c>
    </row>
    <row r="47" spans="1:14" ht="19.5" thickBot="1" x14ac:dyDescent="0.3">
      <c r="A47" s="15">
        <v>55</v>
      </c>
      <c r="B47" s="12">
        <v>191</v>
      </c>
      <c r="C47" s="16">
        <v>1550</v>
      </c>
      <c r="D47" s="16">
        <v>226</v>
      </c>
      <c r="E47" s="15">
        <v>2319</v>
      </c>
      <c r="F47" s="17">
        <v>6859</v>
      </c>
      <c r="G47" s="12">
        <v>853</v>
      </c>
      <c r="H47" s="12">
        <v>933</v>
      </c>
      <c r="I47" s="12">
        <v>2</v>
      </c>
      <c r="J47" s="12">
        <v>192</v>
      </c>
      <c r="K47" s="12">
        <v>1936</v>
      </c>
      <c r="L47" s="12">
        <v>191</v>
      </c>
      <c r="M47" s="12">
        <v>191</v>
      </c>
      <c r="N47" s="12">
        <v>2043</v>
      </c>
    </row>
    <row r="48" spans="1:14" ht="19.5" thickBot="1" x14ac:dyDescent="0.3">
      <c r="A48" s="15">
        <v>54</v>
      </c>
      <c r="B48" s="12">
        <v>181</v>
      </c>
      <c r="C48" s="16">
        <v>1480</v>
      </c>
      <c r="D48" s="16">
        <v>217</v>
      </c>
      <c r="E48" s="15">
        <v>2162</v>
      </c>
      <c r="F48" s="17">
        <v>6585</v>
      </c>
      <c r="G48" s="12">
        <v>810</v>
      </c>
      <c r="H48" s="12">
        <v>884</v>
      </c>
      <c r="I48" s="12">
        <v>2</v>
      </c>
      <c r="J48" s="12">
        <v>183</v>
      </c>
      <c r="K48" s="12">
        <v>1792</v>
      </c>
      <c r="L48" s="12">
        <v>181</v>
      </c>
      <c r="M48" s="12">
        <v>181</v>
      </c>
      <c r="N48" s="12">
        <v>1891</v>
      </c>
    </row>
    <row r="49" spans="1:14" ht="19.5" thickBot="1" x14ac:dyDescent="0.3">
      <c r="A49" s="15">
        <v>53</v>
      </c>
      <c r="B49" s="12">
        <v>172</v>
      </c>
      <c r="C49" s="16">
        <v>1413</v>
      </c>
      <c r="D49" s="16">
        <v>208</v>
      </c>
      <c r="E49" s="15">
        <v>2015</v>
      </c>
      <c r="F49" s="17">
        <v>6324</v>
      </c>
      <c r="G49" s="12">
        <v>769</v>
      </c>
      <c r="H49" s="12">
        <v>837</v>
      </c>
      <c r="I49" s="12">
        <v>2</v>
      </c>
      <c r="J49" s="12">
        <v>173</v>
      </c>
      <c r="K49" s="12">
        <v>1658</v>
      </c>
      <c r="L49" s="12">
        <v>172</v>
      </c>
      <c r="M49" s="12">
        <v>172</v>
      </c>
      <c r="N49" s="12">
        <v>1750</v>
      </c>
    </row>
    <row r="50" spans="1:14" ht="19.5" thickBot="1" x14ac:dyDescent="0.3">
      <c r="A50" s="15">
        <v>52</v>
      </c>
      <c r="B50" s="12">
        <v>163</v>
      </c>
      <c r="C50" s="16">
        <v>1349</v>
      </c>
      <c r="D50" s="16">
        <v>200</v>
      </c>
      <c r="E50" s="15">
        <v>1878</v>
      </c>
      <c r="F50" s="17">
        <v>6064</v>
      </c>
      <c r="G50" s="12">
        <v>730</v>
      </c>
      <c r="H50" s="12">
        <v>793</v>
      </c>
      <c r="I50" s="12">
        <v>2</v>
      </c>
      <c r="J50" s="12">
        <v>164</v>
      </c>
      <c r="K50" s="12">
        <v>1534</v>
      </c>
      <c r="L50" s="12">
        <v>163</v>
      </c>
      <c r="M50" s="12">
        <v>163</v>
      </c>
      <c r="N50" s="12">
        <v>1619</v>
      </c>
    </row>
    <row r="51" spans="1:14" ht="19.5" thickBot="1" x14ac:dyDescent="0.3">
      <c r="A51" s="15">
        <v>51</v>
      </c>
      <c r="B51" s="12">
        <v>155</v>
      </c>
      <c r="C51" s="16">
        <v>1287</v>
      </c>
      <c r="D51" s="16">
        <v>192</v>
      </c>
      <c r="E51" s="15">
        <v>1749</v>
      </c>
      <c r="F51" s="17">
        <v>5808</v>
      </c>
      <c r="G51" s="12">
        <v>692</v>
      </c>
      <c r="H51" s="12">
        <v>750</v>
      </c>
      <c r="I51" s="12">
        <v>2</v>
      </c>
      <c r="J51" s="12">
        <v>156</v>
      </c>
      <c r="K51" s="12">
        <v>1419</v>
      </c>
      <c r="L51" s="12">
        <v>155</v>
      </c>
      <c r="M51" s="12">
        <v>155</v>
      </c>
      <c r="N51" s="12">
        <v>1497</v>
      </c>
    </row>
    <row r="52" spans="1:14" ht="19.5" thickBot="1" x14ac:dyDescent="0.3">
      <c r="A52" s="15">
        <v>50</v>
      </c>
      <c r="B52" s="12">
        <v>147</v>
      </c>
      <c r="C52" s="16">
        <v>1227</v>
      </c>
      <c r="D52" s="16">
        <v>184</v>
      </c>
      <c r="E52" s="15">
        <v>1629</v>
      </c>
      <c r="F52" s="17">
        <v>5561</v>
      </c>
      <c r="G52" s="12">
        <v>656</v>
      </c>
      <c r="H52" s="12">
        <v>710</v>
      </c>
      <c r="I52" s="12">
        <v>2</v>
      </c>
      <c r="J52" s="12">
        <v>148</v>
      </c>
      <c r="K52" s="12">
        <v>1312</v>
      </c>
      <c r="L52" s="12">
        <v>147</v>
      </c>
      <c r="M52" s="12">
        <v>147</v>
      </c>
      <c r="N52" s="12">
        <v>1384</v>
      </c>
    </row>
    <row r="53" spans="1:14" ht="19.5" thickBot="1" x14ac:dyDescent="0.3">
      <c r="A53" s="15">
        <v>49</v>
      </c>
      <c r="B53" s="12">
        <v>139</v>
      </c>
      <c r="C53" s="16">
        <v>1170</v>
      </c>
      <c r="D53" s="16">
        <v>177</v>
      </c>
      <c r="E53" s="15">
        <v>1516</v>
      </c>
      <c r="F53" s="17">
        <v>5318</v>
      </c>
      <c r="G53" s="12">
        <v>622</v>
      </c>
      <c r="H53" s="12">
        <v>672</v>
      </c>
      <c r="I53" s="12">
        <v>2</v>
      </c>
      <c r="J53" s="12">
        <v>140</v>
      </c>
      <c r="K53" s="12">
        <v>1212</v>
      </c>
      <c r="L53" s="12">
        <v>139</v>
      </c>
      <c r="M53" s="12">
        <v>139</v>
      </c>
      <c r="N53" s="12">
        <v>1279</v>
      </c>
    </row>
    <row r="54" spans="1:14" ht="19.5" thickBot="1" x14ac:dyDescent="0.3">
      <c r="A54" s="15">
        <v>48</v>
      </c>
      <c r="B54" s="12">
        <v>131</v>
      </c>
      <c r="C54" s="16">
        <v>1116</v>
      </c>
      <c r="D54" s="16">
        <v>169</v>
      </c>
      <c r="E54" s="15">
        <v>1411</v>
      </c>
      <c r="F54" s="17">
        <v>5086</v>
      </c>
      <c r="G54" s="12">
        <v>590</v>
      </c>
      <c r="H54" s="12">
        <v>635</v>
      </c>
      <c r="I54" s="12">
        <v>2</v>
      </c>
      <c r="J54" s="12">
        <v>133</v>
      </c>
      <c r="K54" s="12">
        <v>1120</v>
      </c>
      <c r="L54" s="12">
        <v>131</v>
      </c>
      <c r="M54" s="12">
        <v>131</v>
      </c>
      <c r="N54" s="12">
        <v>1182</v>
      </c>
    </row>
    <row r="55" spans="1:14" ht="19.5" thickBot="1" x14ac:dyDescent="0.3">
      <c r="A55" s="15">
        <v>47</v>
      </c>
      <c r="B55" s="12">
        <v>125</v>
      </c>
      <c r="C55" s="16">
        <v>1063</v>
      </c>
      <c r="D55" s="16">
        <v>162</v>
      </c>
      <c r="E55" s="15">
        <v>1313</v>
      </c>
      <c r="F55" s="17">
        <v>4854</v>
      </c>
      <c r="G55" s="12">
        <v>559</v>
      </c>
      <c r="H55" s="12">
        <v>600</v>
      </c>
      <c r="I55" s="12">
        <v>2</v>
      </c>
      <c r="J55" s="12">
        <v>126</v>
      </c>
      <c r="K55" s="12">
        <v>1034</v>
      </c>
      <c r="L55" s="12">
        <v>125</v>
      </c>
      <c r="M55" s="12">
        <v>125</v>
      </c>
      <c r="N55" s="12">
        <v>1092</v>
      </c>
    </row>
    <row r="56" spans="1:14" ht="19.5" thickBot="1" x14ac:dyDescent="0.3">
      <c r="A56" s="15">
        <v>46</v>
      </c>
      <c r="B56" s="12">
        <v>118</v>
      </c>
      <c r="C56" s="16">
        <v>1013</v>
      </c>
      <c r="D56" s="16">
        <v>156</v>
      </c>
      <c r="E56" s="15">
        <v>1221</v>
      </c>
      <c r="F56" s="17">
        <v>4634</v>
      </c>
      <c r="G56" s="12">
        <v>529</v>
      </c>
      <c r="H56" s="12">
        <v>567</v>
      </c>
      <c r="I56" s="12">
        <v>2</v>
      </c>
      <c r="J56" s="12">
        <v>119</v>
      </c>
      <c r="K56" s="12">
        <v>955</v>
      </c>
      <c r="L56" s="12">
        <v>118</v>
      </c>
      <c r="M56" s="12">
        <v>118</v>
      </c>
      <c r="N56" s="12">
        <v>1008</v>
      </c>
    </row>
    <row r="57" spans="1:14" ht="19.5" thickBot="1" x14ac:dyDescent="0.3">
      <c r="A57" s="15">
        <v>45</v>
      </c>
      <c r="B57" s="12">
        <v>112</v>
      </c>
      <c r="C57" s="16">
        <v>964</v>
      </c>
      <c r="D57" s="16">
        <v>149</v>
      </c>
      <c r="E57" s="15">
        <v>1135</v>
      </c>
      <c r="F57" s="17">
        <v>4415</v>
      </c>
      <c r="G57" s="12">
        <v>501</v>
      </c>
      <c r="H57" s="12">
        <v>536</v>
      </c>
      <c r="I57" s="12">
        <v>1</v>
      </c>
      <c r="J57" s="12">
        <v>113</v>
      </c>
      <c r="K57" s="12">
        <v>881</v>
      </c>
      <c r="L57" s="12">
        <v>112</v>
      </c>
      <c r="M57" s="12">
        <v>112</v>
      </c>
      <c r="N57" s="12">
        <v>930</v>
      </c>
    </row>
    <row r="58" spans="1:14" ht="19.5" thickBot="1" x14ac:dyDescent="0.3">
      <c r="A58" s="15">
        <v>44</v>
      </c>
      <c r="B58" s="12">
        <v>106</v>
      </c>
      <c r="C58" s="16">
        <v>918</v>
      </c>
      <c r="D58" s="16">
        <v>143</v>
      </c>
      <c r="E58" s="15">
        <v>1055</v>
      </c>
      <c r="F58" s="17">
        <v>4203</v>
      </c>
      <c r="G58" s="12">
        <v>474</v>
      </c>
      <c r="H58" s="12">
        <v>506</v>
      </c>
      <c r="I58" s="12">
        <v>1</v>
      </c>
      <c r="J58" s="12">
        <v>107</v>
      </c>
      <c r="K58" s="12">
        <v>813</v>
      </c>
      <c r="L58" s="12">
        <v>106</v>
      </c>
      <c r="M58" s="12">
        <v>106</v>
      </c>
      <c r="N58" s="12">
        <v>858</v>
      </c>
    </row>
    <row r="59" spans="1:14" ht="19.5" thickBot="1" x14ac:dyDescent="0.3">
      <c r="A59" s="15">
        <v>43</v>
      </c>
      <c r="B59" s="12">
        <v>100</v>
      </c>
      <c r="C59" s="16">
        <v>873</v>
      </c>
      <c r="D59" s="16">
        <v>137</v>
      </c>
      <c r="E59" s="15">
        <v>980</v>
      </c>
      <c r="F59" s="17">
        <v>3993</v>
      </c>
      <c r="G59" s="12">
        <v>448</v>
      </c>
      <c r="H59" s="12">
        <v>477</v>
      </c>
      <c r="I59" s="12">
        <v>1</v>
      </c>
      <c r="J59" s="12">
        <v>101</v>
      </c>
      <c r="K59" s="12">
        <v>749</v>
      </c>
      <c r="L59" s="12">
        <v>100</v>
      </c>
      <c r="M59" s="12">
        <v>100</v>
      </c>
      <c r="N59" s="12">
        <v>792</v>
      </c>
    </row>
    <row r="60" spans="1:14" ht="19.5" thickBot="1" x14ac:dyDescent="0.3">
      <c r="A60" s="15">
        <v>42</v>
      </c>
      <c r="B60" s="12">
        <v>94</v>
      </c>
      <c r="C60" s="16">
        <v>831</v>
      </c>
      <c r="D60" s="16">
        <v>132</v>
      </c>
      <c r="E60" s="15">
        <v>910</v>
      </c>
      <c r="F60" s="17">
        <v>3796</v>
      </c>
      <c r="G60" s="12">
        <v>424</v>
      </c>
      <c r="H60" s="12">
        <v>450</v>
      </c>
      <c r="I60" s="12">
        <v>1</v>
      </c>
      <c r="J60" s="12">
        <v>96</v>
      </c>
      <c r="K60" s="12">
        <v>691</v>
      </c>
      <c r="L60" s="12">
        <v>94</v>
      </c>
      <c r="M60" s="12">
        <v>94</v>
      </c>
      <c r="N60" s="12">
        <v>730</v>
      </c>
    </row>
    <row r="61" spans="1:14" ht="19.5" thickBot="1" x14ac:dyDescent="0.3">
      <c r="A61" s="15">
        <v>41</v>
      </c>
      <c r="B61" s="12">
        <v>89</v>
      </c>
      <c r="C61" s="16">
        <v>790</v>
      </c>
      <c r="D61" s="16">
        <v>126</v>
      </c>
      <c r="E61" s="15">
        <v>844</v>
      </c>
      <c r="F61" s="17">
        <v>3597</v>
      </c>
      <c r="G61" s="12">
        <v>401</v>
      </c>
      <c r="H61" s="12">
        <v>425</v>
      </c>
      <c r="I61" s="12">
        <v>1</v>
      </c>
      <c r="J61" s="12">
        <v>90</v>
      </c>
      <c r="K61" s="12">
        <v>636</v>
      </c>
      <c r="L61" s="12">
        <v>89</v>
      </c>
      <c r="M61" s="12">
        <v>89</v>
      </c>
      <c r="N61" s="12">
        <v>672</v>
      </c>
    </row>
    <row r="62" spans="1:14" ht="19.5" thickBot="1" x14ac:dyDescent="0.3">
      <c r="A62" s="15">
        <v>40</v>
      </c>
      <c r="B62" s="12">
        <v>84</v>
      </c>
      <c r="C62" s="16">
        <v>750</v>
      </c>
      <c r="D62" s="16">
        <v>121</v>
      </c>
      <c r="E62" s="15">
        <v>783</v>
      </c>
      <c r="F62" s="17">
        <v>3407</v>
      </c>
      <c r="G62" s="12">
        <v>379</v>
      </c>
      <c r="H62" s="12">
        <v>400</v>
      </c>
      <c r="I62" s="12">
        <v>1</v>
      </c>
      <c r="J62" s="12">
        <v>85</v>
      </c>
      <c r="K62" s="12">
        <v>586</v>
      </c>
      <c r="L62" s="12">
        <v>84</v>
      </c>
      <c r="M62" s="12">
        <v>84</v>
      </c>
      <c r="N62" s="12">
        <v>619</v>
      </c>
    </row>
    <row r="63" spans="1:14" ht="19.5" thickBot="1" x14ac:dyDescent="0.3">
      <c r="A63" s="15">
        <v>39</v>
      </c>
      <c r="B63" s="12">
        <v>80</v>
      </c>
      <c r="C63" s="16">
        <v>713</v>
      </c>
      <c r="D63" s="16">
        <v>116</v>
      </c>
      <c r="E63" s="15">
        <v>726</v>
      </c>
      <c r="F63" s="17">
        <v>3227</v>
      </c>
      <c r="G63" s="12">
        <v>357</v>
      </c>
      <c r="H63" s="12">
        <v>377</v>
      </c>
      <c r="I63" s="12">
        <v>1</v>
      </c>
      <c r="J63" s="12">
        <v>81</v>
      </c>
      <c r="K63" s="12">
        <v>539</v>
      </c>
      <c r="L63" s="12">
        <v>80</v>
      </c>
      <c r="M63" s="12">
        <v>80</v>
      </c>
      <c r="N63" s="12">
        <v>570</v>
      </c>
    </row>
    <row r="64" spans="1:14" ht="19.5" thickBot="1" x14ac:dyDescent="0.3">
      <c r="A64" s="15">
        <v>38</v>
      </c>
      <c r="B64" s="12">
        <v>75</v>
      </c>
      <c r="C64" s="16">
        <v>676</v>
      </c>
      <c r="D64" s="16">
        <v>111</v>
      </c>
      <c r="E64" s="15">
        <v>673</v>
      </c>
      <c r="F64" s="17">
        <v>3045</v>
      </c>
      <c r="G64" s="12">
        <v>337</v>
      </c>
      <c r="H64" s="12">
        <v>355</v>
      </c>
      <c r="I64" s="12">
        <v>1</v>
      </c>
      <c r="J64" s="12">
        <v>76</v>
      </c>
      <c r="K64" s="12">
        <v>496</v>
      </c>
      <c r="L64" s="12">
        <v>75</v>
      </c>
      <c r="M64" s="12">
        <v>75</v>
      </c>
      <c r="N64" s="12">
        <v>525</v>
      </c>
    </row>
    <row r="65" spans="1:14" ht="19.5" thickBot="1" x14ac:dyDescent="0.3">
      <c r="A65" s="15">
        <v>37</v>
      </c>
      <c r="B65" s="12">
        <v>71</v>
      </c>
      <c r="C65" s="16">
        <v>642</v>
      </c>
      <c r="D65" s="16">
        <v>106</v>
      </c>
      <c r="E65" s="15">
        <v>624</v>
      </c>
      <c r="F65" s="17">
        <v>2873</v>
      </c>
      <c r="G65" s="12">
        <v>318</v>
      </c>
      <c r="H65" s="12">
        <v>334</v>
      </c>
      <c r="I65" s="12">
        <v>1</v>
      </c>
      <c r="J65" s="12">
        <v>72</v>
      </c>
      <c r="K65" s="12">
        <v>456</v>
      </c>
      <c r="L65" s="12">
        <v>71</v>
      </c>
      <c r="M65" s="12">
        <v>71</v>
      </c>
      <c r="N65" s="12">
        <v>482</v>
      </c>
    </row>
    <row r="66" spans="1:14" ht="19.5" thickBot="1" x14ac:dyDescent="0.3">
      <c r="A66" s="15">
        <v>36</v>
      </c>
      <c r="B66" s="12">
        <v>67</v>
      </c>
      <c r="C66" s="16">
        <v>609</v>
      </c>
      <c r="D66" s="16">
        <v>101</v>
      </c>
      <c r="E66" s="15">
        <v>577</v>
      </c>
      <c r="F66" s="17">
        <v>2705</v>
      </c>
      <c r="G66" s="12">
        <v>300</v>
      </c>
      <c r="H66" s="12">
        <v>314</v>
      </c>
      <c r="I66" s="12">
        <v>1</v>
      </c>
      <c r="J66" s="12">
        <v>68</v>
      </c>
      <c r="K66" s="12">
        <v>419</v>
      </c>
      <c r="L66" s="12">
        <v>67</v>
      </c>
      <c r="M66" s="12">
        <v>67</v>
      </c>
      <c r="N66" s="12">
        <v>443</v>
      </c>
    </row>
    <row r="67" spans="1:14" ht="19.5" thickBot="1" x14ac:dyDescent="0.3">
      <c r="A67" s="15">
        <v>35</v>
      </c>
      <c r="B67" s="12">
        <v>63</v>
      </c>
      <c r="C67" s="16">
        <v>577</v>
      </c>
      <c r="D67" s="16">
        <v>97</v>
      </c>
      <c r="E67" s="15">
        <v>534</v>
      </c>
      <c r="F67" s="17">
        <v>2543</v>
      </c>
      <c r="G67" s="12">
        <v>283</v>
      </c>
      <c r="H67" s="12">
        <v>295</v>
      </c>
      <c r="I67" s="12">
        <v>1</v>
      </c>
      <c r="J67" s="12">
        <v>64</v>
      </c>
      <c r="K67" s="12">
        <v>384</v>
      </c>
      <c r="L67" s="12">
        <v>63</v>
      </c>
      <c r="M67" s="12">
        <v>63</v>
      </c>
      <c r="N67" s="12">
        <v>407</v>
      </c>
    </row>
    <row r="68" spans="1:14" ht="19.5" thickBot="1" x14ac:dyDescent="0.3">
      <c r="A68" s="15">
        <v>34</v>
      </c>
      <c r="B68" s="12">
        <v>59</v>
      </c>
      <c r="C68" s="16">
        <v>546</v>
      </c>
      <c r="D68" s="16">
        <v>93</v>
      </c>
      <c r="E68" s="15">
        <v>494</v>
      </c>
      <c r="F68" s="17">
        <v>2386</v>
      </c>
      <c r="G68" s="12">
        <v>266</v>
      </c>
      <c r="H68" s="12">
        <v>277</v>
      </c>
      <c r="I68" s="12">
        <v>1</v>
      </c>
      <c r="J68" s="12">
        <v>61</v>
      </c>
      <c r="K68" s="12">
        <v>353</v>
      </c>
      <c r="L68" s="12">
        <v>59</v>
      </c>
      <c r="M68" s="12">
        <v>59</v>
      </c>
      <c r="N68" s="12">
        <v>374</v>
      </c>
    </row>
    <row r="69" spans="1:14" ht="19.5" thickBot="1" x14ac:dyDescent="0.3">
      <c r="A69" s="15">
        <v>33</v>
      </c>
      <c r="B69" s="12">
        <v>56</v>
      </c>
      <c r="C69" s="16">
        <v>517</v>
      </c>
      <c r="D69" s="16">
        <v>89</v>
      </c>
      <c r="E69" s="15">
        <v>456</v>
      </c>
      <c r="F69" s="17">
        <v>2235</v>
      </c>
      <c r="G69" s="12">
        <v>251</v>
      </c>
      <c r="H69" s="12">
        <v>260</v>
      </c>
      <c r="I69" s="12">
        <v>1</v>
      </c>
      <c r="J69" s="12">
        <v>57</v>
      </c>
      <c r="K69" s="12">
        <v>323</v>
      </c>
      <c r="L69" s="12">
        <v>56</v>
      </c>
      <c r="M69" s="12">
        <v>56</v>
      </c>
      <c r="N69" s="12">
        <v>343</v>
      </c>
    </row>
    <row r="70" spans="1:14" ht="19.5" thickBot="1" x14ac:dyDescent="0.3">
      <c r="A70" s="15">
        <v>32</v>
      </c>
      <c r="B70" s="12">
        <v>53</v>
      </c>
      <c r="C70" s="16">
        <v>489</v>
      </c>
      <c r="D70" s="16">
        <v>85</v>
      </c>
      <c r="E70" s="15">
        <v>422</v>
      </c>
      <c r="F70" s="17">
        <v>2089</v>
      </c>
      <c r="G70" s="12">
        <v>236</v>
      </c>
      <c r="H70" s="12">
        <v>244</v>
      </c>
      <c r="I70" s="12">
        <v>1</v>
      </c>
      <c r="J70" s="12">
        <v>54</v>
      </c>
      <c r="K70" s="12">
        <v>296</v>
      </c>
      <c r="L70" s="12">
        <v>53</v>
      </c>
      <c r="M70" s="12">
        <v>53</v>
      </c>
      <c r="N70" s="12">
        <v>315</v>
      </c>
    </row>
    <row r="71" spans="1:14" ht="19.5" thickBot="1" x14ac:dyDescent="0.3">
      <c r="A71" s="15">
        <v>31</v>
      </c>
      <c r="B71" s="12">
        <v>50</v>
      </c>
      <c r="C71" s="16">
        <v>463</v>
      </c>
      <c r="D71" s="16">
        <v>81</v>
      </c>
      <c r="E71" s="15">
        <v>389</v>
      </c>
      <c r="F71" s="17">
        <v>1950</v>
      </c>
      <c r="G71" s="12">
        <v>222</v>
      </c>
      <c r="H71" s="12">
        <v>229</v>
      </c>
      <c r="I71" s="12">
        <v>1</v>
      </c>
      <c r="J71" s="12">
        <v>51</v>
      </c>
      <c r="K71" s="12">
        <v>271</v>
      </c>
      <c r="L71" s="12">
        <v>50</v>
      </c>
      <c r="M71" s="12">
        <v>50</v>
      </c>
      <c r="N71" s="12">
        <v>288</v>
      </c>
    </row>
    <row r="72" spans="1:14" ht="19.5" thickBot="1" x14ac:dyDescent="0.3">
      <c r="A72" s="15">
        <v>30</v>
      </c>
      <c r="B72" s="12">
        <v>47</v>
      </c>
      <c r="C72" s="16">
        <v>437</v>
      </c>
      <c r="D72" s="16">
        <v>78</v>
      </c>
      <c r="E72" s="15">
        <v>359</v>
      </c>
      <c r="F72" s="17">
        <v>1812</v>
      </c>
      <c r="G72" s="12">
        <v>208</v>
      </c>
      <c r="H72" s="12">
        <v>214</v>
      </c>
      <c r="I72" s="12">
        <v>1</v>
      </c>
      <c r="J72" s="12">
        <v>48</v>
      </c>
      <c r="K72" s="12">
        <v>248</v>
      </c>
      <c r="L72" s="12">
        <v>47</v>
      </c>
      <c r="M72" s="12">
        <v>47</v>
      </c>
      <c r="N72" s="12">
        <v>264</v>
      </c>
    </row>
    <row r="73" spans="1:14" ht="19.5" thickBot="1" x14ac:dyDescent="0.3">
      <c r="A73" s="15">
        <v>29</v>
      </c>
      <c r="B73" s="12">
        <v>44</v>
      </c>
      <c r="C73" s="16">
        <v>412</v>
      </c>
      <c r="D73" s="16">
        <v>74</v>
      </c>
      <c r="E73" s="15">
        <v>331</v>
      </c>
      <c r="F73" s="17">
        <v>1685</v>
      </c>
      <c r="G73" s="12">
        <v>195</v>
      </c>
      <c r="H73" s="12">
        <v>201</v>
      </c>
      <c r="I73" s="12">
        <v>1</v>
      </c>
      <c r="J73" s="12">
        <v>45</v>
      </c>
      <c r="K73" s="12">
        <v>227</v>
      </c>
      <c r="L73" s="12">
        <v>44</v>
      </c>
      <c r="M73" s="12">
        <v>44</v>
      </c>
      <c r="N73" s="12">
        <v>241</v>
      </c>
    </row>
    <row r="74" spans="1:14" ht="19.5" thickBot="1" x14ac:dyDescent="0.3">
      <c r="A74" s="15">
        <v>28</v>
      </c>
      <c r="B74" s="12">
        <v>41</v>
      </c>
      <c r="C74" s="16">
        <v>389</v>
      </c>
      <c r="D74" s="16">
        <v>71</v>
      </c>
      <c r="E74" s="15">
        <v>304</v>
      </c>
      <c r="F74" s="17">
        <v>1560</v>
      </c>
      <c r="G74" s="12">
        <v>183</v>
      </c>
      <c r="H74" s="12">
        <v>188</v>
      </c>
      <c r="I74" s="12">
        <v>1</v>
      </c>
      <c r="J74" s="12">
        <v>42</v>
      </c>
      <c r="K74" s="12">
        <v>207</v>
      </c>
      <c r="L74" s="12">
        <v>41</v>
      </c>
      <c r="M74" s="12">
        <v>41</v>
      </c>
      <c r="N74" s="12">
        <v>221</v>
      </c>
    </row>
    <row r="75" spans="1:14" ht="19.5" thickBot="1" x14ac:dyDescent="0.3">
      <c r="A75" s="15">
        <v>27</v>
      </c>
      <c r="B75" s="12">
        <v>39</v>
      </c>
      <c r="C75" s="16">
        <v>367</v>
      </c>
      <c r="D75" s="16">
        <v>68</v>
      </c>
      <c r="E75" s="15">
        <v>280</v>
      </c>
      <c r="F75" s="17">
        <v>1437</v>
      </c>
      <c r="G75" s="12">
        <v>171</v>
      </c>
      <c r="H75" s="12">
        <v>175</v>
      </c>
      <c r="I75" s="12">
        <v>1</v>
      </c>
      <c r="J75" s="12">
        <v>40</v>
      </c>
      <c r="K75" s="12">
        <v>189</v>
      </c>
      <c r="L75" s="12">
        <v>39</v>
      </c>
      <c r="M75" s="12">
        <v>39</v>
      </c>
      <c r="N75" s="12">
        <v>201</v>
      </c>
    </row>
    <row r="76" spans="1:14" ht="19.5" thickBot="1" x14ac:dyDescent="0.3">
      <c r="A76" s="15">
        <v>26</v>
      </c>
      <c r="B76" s="12">
        <v>36</v>
      </c>
      <c r="C76" s="16">
        <v>345</v>
      </c>
      <c r="D76" s="16">
        <v>65</v>
      </c>
      <c r="E76" s="15">
        <v>257</v>
      </c>
      <c r="F76" s="17">
        <v>1325</v>
      </c>
      <c r="G76" s="12">
        <v>161</v>
      </c>
      <c r="H76" s="12">
        <v>164</v>
      </c>
      <c r="I76" s="12">
        <v>1</v>
      </c>
      <c r="J76" s="12">
        <v>37</v>
      </c>
      <c r="K76" s="12">
        <v>172</v>
      </c>
      <c r="L76" s="12">
        <v>36</v>
      </c>
      <c r="M76" s="12">
        <v>36</v>
      </c>
      <c r="N76" s="12">
        <v>184</v>
      </c>
    </row>
    <row r="77" spans="1:14" ht="19.5" thickBot="1" x14ac:dyDescent="0.3">
      <c r="A77" s="15">
        <v>25</v>
      </c>
      <c r="B77" s="12">
        <v>34</v>
      </c>
      <c r="C77" s="16">
        <v>325</v>
      </c>
      <c r="D77" s="16">
        <v>62</v>
      </c>
      <c r="E77" s="15">
        <v>236</v>
      </c>
      <c r="F77" s="17">
        <v>1216</v>
      </c>
      <c r="G77" s="12">
        <v>150</v>
      </c>
      <c r="H77" s="12">
        <v>152</v>
      </c>
      <c r="I77" s="12">
        <v>1</v>
      </c>
      <c r="J77" s="12">
        <v>35</v>
      </c>
      <c r="K77" s="12">
        <v>157</v>
      </c>
      <c r="L77" s="12">
        <v>34</v>
      </c>
      <c r="M77" s="12">
        <v>34</v>
      </c>
      <c r="N77" s="12">
        <v>168</v>
      </c>
    </row>
    <row r="78" spans="1:14" ht="19.5" thickBot="1" x14ac:dyDescent="0.3">
      <c r="A78" s="15">
        <v>24</v>
      </c>
      <c r="B78" s="12">
        <v>32</v>
      </c>
      <c r="C78" s="16">
        <v>305</v>
      </c>
      <c r="D78" s="16">
        <v>59</v>
      </c>
      <c r="E78" s="15">
        <v>217</v>
      </c>
      <c r="F78" s="17">
        <v>1113</v>
      </c>
      <c r="G78" s="12">
        <v>140</v>
      </c>
      <c r="H78" s="12">
        <v>142</v>
      </c>
      <c r="I78" s="12">
        <v>1</v>
      </c>
      <c r="J78" s="12">
        <v>33</v>
      </c>
      <c r="K78" s="12">
        <v>142</v>
      </c>
      <c r="L78" s="12">
        <v>32</v>
      </c>
      <c r="M78" s="12">
        <v>32</v>
      </c>
      <c r="N78" s="12">
        <v>153</v>
      </c>
    </row>
    <row r="79" spans="1:14" ht="19.5" thickBot="1" x14ac:dyDescent="0.3">
      <c r="A79" s="15">
        <v>23</v>
      </c>
      <c r="B79" s="12">
        <v>30</v>
      </c>
      <c r="C79" s="16">
        <v>286</v>
      </c>
      <c r="D79" s="16">
        <v>56</v>
      </c>
      <c r="E79" s="15">
        <v>199</v>
      </c>
      <c r="F79" s="17">
        <v>1013</v>
      </c>
      <c r="G79" s="12">
        <v>131</v>
      </c>
      <c r="H79" s="12">
        <v>132</v>
      </c>
      <c r="I79" s="12">
        <v>1</v>
      </c>
      <c r="J79" s="12">
        <v>31</v>
      </c>
      <c r="K79" s="12">
        <v>129</v>
      </c>
      <c r="L79" s="12">
        <v>30</v>
      </c>
      <c r="M79" s="12">
        <v>30</v>
      </c>
      <c r="N79" s="12">
        <v>139</v>
      </c>
    </row>
    <row r="80" spans="1:14" ht="19.5" thickBot="1" x14ac:dyDescent="0.3">
      <c r="A80" s="15">
        <v>22</v>
      </c>
      <c r="B80" s="12">
        <v>28</v>
      </c>
      <c r="C80" s="16">
        <v>268</v>
      </c>
      <c r="D80" s="16">
        <v>54</v>
      </c>
      <c r="E80" s="15">
        <v>182</v>
      </c>
      <c r="F80" s="17">
        <v>921</v>
      </c>
      <c r="G80" s="12">
        <v>122</v>
      </c>
      <c r="H80" s="12">
        <v>123</v>
      </c>
      <c r="I80" s="12">
        <v>1</v>
      </c>
      <c r="J80" s="12">
        <v>29</v>
      </c>
      <c r="K80" s="12">
        <v>117</v>
      </c>
      <c r="L80" s="12">
        <v>28</v>
      </c>
      <c r="M80" s="12">
        <v>28</v>
      </c>
      <c r="N80" s="12">
        <v>126</v>
      </c>
    </row>
    <row r="81" spans="1:14" ht="19.5" thickBot="1" x14ac:dyDescent="0.3">
      <c r="A81" s="15">
        <v>21</v>
      </c>
      <c r="B81" s="12">
        <v>26</v>
      </c>
      <c r="C81" s="16">
        <v>251</v>
      </c>
      <c r="D81" s="16">
        <v>51</v>
      </c>
      <c r="E81" s="15">
        <v>166</v>
      </c>
      <c r="F81" s="17">
        <v>831</v>
      </c>
      <c r="G81" s="12">
        <v>113</v>
      </c>
      <c r="H81" s="12">
        <v>114</v>
      </c>
      <c r="I81" s="12">
        <v>1</v>
      </c>
      <c r="J81" s="12">
        <v>27</v>
      </c>
      <c r="K81" s="12">
        <v>106</v>
      </c>
      <c r="L81" s="12">
        <v>26</v>
      </c>
      <c r="M81" s="12">
        <v>26</v>
      </c>
      <c r="N81" s="12">
        <v>114</v>
      </c>
    </row>
    <row r="82" spans="1:14" ht="19.5" thickBot="1" x14ac:dyDescent="0.3">
      <c r="A82" s="15">
        <v>20</v>
      </c>
      <c r="B82" s="12">
        <v>24</v>
      </c>
      <c r="C82" s="16">
        <v>235</v>
      </c>
      <c r="D82" s="16">
        <v>49</v>
      </c>
      <c r="E82" s="15">
        <v>152</v>
      </c>
      <c r="F82" s="17">
        <v>748</v>
      </c>
      <c r="G82" s="12">
        <v>105</v>
      </c>
      <c r="H82" s="12">
        <v>105</v>
      </c>
      <c r="I82" s="12">
        <v>1</v>
      </c>
      <c r="J82" s="12">
        <v>25</v>
      </c>
      <c r="K82" s="12">
        <v>96</v>
      </c>
      <c r="L82" s="12">
        <v>24</v>
      </c>
      <c r="M82" s="12">
        <v>24</v>
      </c>
      <c r="N82" s="12">
        <v>104</v>
      </c>
    </row>
    <row r="83" spans="1:14" ht="19.5" thickBot="1" x14ac:dyDescent="0.3">
      <c r="A83" s="15">
        <v>19</v>
      </c>
      <c r="B83" s="12">
        <v>23</v>
      </c>
      <c r="C83" s="16">
        <v>219</v>
      </c>
      <c r="D83" s="16">
        <v>46</v>
      </c>
      <c r="E83" s="15">
        <v>138</v>
      </c>
      <c r="F83" s="17">
        <v>668</v>
      </c>
      <c r="G83" s="12">
        <v>98</v>
      </c>
      <c r="H83" s="12">
        <v>97</v>
      </c>
      <c r="I83" s="12">
        <v>1</v>
      </c>
      <c r="J83" s="12">
        <v>24</v>
      </c>
      <c r="K83" s="12">
        <v>87</v>
      </c>
      <c r="L83" s="12">
        <v>23</v>
      </c>
      <c r="M83" s="12">
        <v>23</v>
      </c>
      <c r="N83" s="12">
        <v>94</v>
      </c>
    </row>
    <row r="84" spans="1:14" ht="19.5" thickBot="1" x14ac:dyDescent="0.3">
      <c r="A84" s="15">
        <v>18</v>
      </c>
      <c r="B84" s="12">
        <v>21</v>
      </c>
      <c r="C84" s="16">
        <v>204</v>
      </c>
      <c r="D84" s="16">
        <v>44</v>
      </c>
      <c r="E84" s="15">
        <v>126</v>
      </c>
      <c r="F84" s="17">
        <v>596</v>
      </c>
      <c r="G84" s="12">
        <v>91</v>
      </c>
      <c r="H84" s="12">
        <v>90</v>
      </c>
      <c r="I84" s="12">
        <v>1</v>
      </c>
      <c r="J84" s="12">
        <v>22</v>
      </c>
      <c r="K84" s="12">
        <v>78</v>
      </c>
      <c r="L84" s="12">
        <v>21</v>
      </c>
      <c r="M84" s="12">
        <v>21</v>
      </c>
      <c r="N84" s="12">
        <v>85</v>
      </c>
    </row>
    <row r="85" spans="1:14" ht="19.5" thickBot="1" x14ac:dyDescent="0.3">
      <c r="A85" s="15">
        <v>17</v>
      </c>
      <c r="B85" s="12">
        <v>20</v>
      </c>
      <c r="C85" s="16">
        <v>190</v>
      </c>
      <c r="D85" s="16">
        <v>42</v>
      </c>
      <c r="E85" s="15">
        <v>114</v>
      </c>
      <c r="F85" s="17">
        <v>526</v>
      </c>
      <c r="G85" s="12">
        <v>84</v>
      </c>
      <c r="H85" s="12">
        <v>83</v>
      </c>
      <c r="I85" s="12">
        <v>1</v>
      </c>
      <c r="J85" s="12">
        <v>21</v>
      </c>
      <c r="K85" s="12">
        <v>70</v>
      </c>
      <c r="L85" s="12">
        <v>20</v>
      </c>
      <c r="M85" s="12">
        <v>20</v>
      </c>
      <c r="N85" s="12">
        <v>76</v>
      </c>
    </row>
    <row r="86" spans="1:14" ht="19.5" thickBot="1" x14ac:dyDescent="0.3">
      <c r="A86" s="15">
        <v>16</v>
      </c>
      <c r="B86" s="12">
        <v>18</v>
      </c>
      <c r="C86" s="16">
        <v>177</v>
      </c>
      <c r="D86" s="16">
        <v>40</v>
      </c>
      <c r="E86" s="15">
        <v>104</v>
      </c>
      <c r="F86" s="17">
        <v>461</v>
      </c>
      <c r="G86" s="12">
        <v>77</v>
      </c>
      <c r="H86" s="12">
        <v>76</v>
      </c>
      <c r="I86" s="12">
        <v>1</v>
      </c>
      <c r="J86" s="12">
        <v>19</v>
      </c>
      <c r="K86" s="12">
        <v>63</v>
      </c>
      <c r="L86" s="12">
        <v>18</v>
      </c>
      <c r="M86" s="12">
        <v>18</v>
      </c>
      <c r="N86" s="12">
        <v>69</v>
      </c>
    </row>
    <row r="87" spans="1:14" ht="19.5" thickBot="1" x14ac:dyDescent="0.3">
      <c r="A87" s="15">
        <v>15</v>
      </c>
      <c r="B87" s="12">
        <v>17</v>
      </c>
      <c r="C87" s="16">
        <v>164</v>
      </c>
      <c r="D87" s="16">
        <v>38</v>
      </c>
      <c r="E87" s="15">
        <v>94</v>
      </c>
      <c r="F87" s="17">
        <v>402</v>
      </c>
      <c r="G87" s="12">
        <v>71</v>
      </c>
      <c r="H87" s="12">
        <v>70</v>
      </c>
      <c r="I87" s="12">
        <v>1</v>
      </c>
      <c r="J87" s="12">
        <v>18</v>
      </c>
      <c r="K87" s="12">
        <v>56</v>
      </c>
      <c r="L87" s="12">
        <v>17</v>
      </c>
      <c r="M87" s="12">
        <v>17</v>
      </c>
      <c r="N87" s="12">
        <v>62</v>
      </c>
    </row>
    <row r="88" spans="1:14" ht="19.5" thickBot="1" x14ac:dyDescent="0.3">
      <c r="A88" s="15">
        <v>14</v>
      </c>
      <c r="B88" s="12">
        <v>16</v>
      </c>
      <c r="C88" s="16">
        <v>151</v>
      </c>
      <c r="D88" s="16">
        <v>36</v>
      </c>
      <c r="E88" s="15">
        <v>85</v>
      </c>
      <c r="F88" s="17">
        <v>347</v>
      </c>
      <c r="G88" s="12">
        <v>66</v>
      </c>
      <c r="H88" s="12">
        <v>64</v>
      </c>
      <c r="I88" s="12">
        <v>1</v>
      </c>
      <c r="J88" s="12">
        <v>17</v>
      </c>
      <c r="K88" s="12">
        <v>50</v>
      </c>
      <c r="L88" s="12">
        <v>16</v>
      </c>
      <c r="M88" s="12">
        <v>16</v>
      </c>
      <c r="N88" s="12">
        <v>55</v>
      </c>
    </row>
    <row r="89" spans="1:14" ht="19.5" thickBot="1" x14ac:dyDescent="0.3">
      <c r="A89" s="15">
        <v>13</v>
      </c>
      <c r="B89" s="12">
        <v>15</v>
      </c>
      <c r="C89" s="16">
        <v>140</v>
      </c>
      <c r="D89" s="16">
        <v>35</v>
      </c>
      <c r="E89" s="15">
        <v>76</v>
      </c>
      <c r="F89" s="17">
        <v>297</v>
      </c>
      <c r="G89" s="12">
        <v>60</v>
      </c>
      <c r="H89" s="12">
        <v>58</v>
      </c>
      <c r="I89" s="12">
        <v>1</v>
      </c>
      <c r="J89" s="12">
        <v>16</v>
      </c>
      <c r="K89" s="12">
        <v>45</v>
      </c>
      <c r="L89" s="12">
        <v>15</v>
      </c>
      <c r="M89" s="12">
        <v>15</v>
      </c>
      <c r="N89" s="12">
        <v>49</v>
      </c>
    </row>
    <row r="90" spans="1:14" ht="19.5" thickBot="1" x14ac:dyDescent="0.3">
      <c r="A90" s="15">
        <v>12</v>
      </c>
      <c r="B90" s="12">
        <v>14</v>
      </c>
      <c r="C90" s="16">
        <v>128</v>
      </c>
      <c r="D90" s="16">
        <v>33</v>
      </c>
      <c r="E90" s="15">
        <v>68</v>
      </c>
      <c r="F90" s="17">
        <v>250</v>
      </c>
      <c r="G90" s="12">
        <v>55</v>
      </c>
      <c r="H90" s="12">
        <v>53</v>
      </c>
      <c r="I90" s="12">
        <v>1</v>
      </c>
      <c r="J90" s="12">
        <v>14</v>
      </c>
      <c r="K90" s="12">
        <v>40</v>
      </c>
      <c r="L90" s="12">
        <v>14</v>
      </c>
      <c r="M90" s="12">
        <v>14</v>
      </c>
      <c r="N90" s="12">
        <v>44</v>
      </c>
    </row>
    <row r="91" spans="1:14" ht="19.5" thickBot="1" x14ac:dyDescent="0.3">
      <c r="A91" s="15">
        <v>11</v>
      </c>
      <c r="B91" s="12">
        <v>13</v>
      </c>
      <c r="C91" s="16">
        <v>118</v>
      </c>
      <c r="D91" s="16">
        <v>31</v>
      </c>
      <c r="E91" s="15">
        <v>61</v>
      </c>
      <c r="F91" s="17">
        <v>211</v>
      </c>
      <c r="G91" s="12">
        <v>50</v>
      </c>
      <c r="H91" s="12">
        <v>48</v>
      </c>
      <c r="I91" s="12">
        <v>1</v>
      </c>
      <c r="J91" s="12">
        <v>13</v>
      </c>
      <c r="K91" s="12">
        <v>35</v>
      </c>
      <c r="L91" s="12">
        <v>13</v>
      </c>
      <c r="M91" s="12">
        <v>13</v>
      </c>
      <c r="N91" s="12">
        <v>39</v>
      </c>
    </row>
    <row r="92" spans="1:14" ht="19.5" thickBot="1" x14ac:dyDescent="0.3">
      <c r="A92" s="15">
        <v>10</v>
      </c>
      <c r="B92" s="12">
        <v>12</v>
      </c>
      <c r="C92" s="16">
        <v>108</v>
      </c>
      <c r="D92" s="16">
        <v>30</v>
      </c>
      <c r="E92" s="15">
        <v>55</v>
      </c>
      <c r="F92" s="17">
        <v>173</v>
      </c>
      <c r="G92" s="12">
        <v>46</v>
      </c>
      <c r="H92" s="12">
        <v>44</v>
      </c>
      <c r="I92" s="12">
        <v>1</v>
      </c>
      <c r="J92" s="12">
        <v>12</v>
      </c>
      <c r="K92" s="12">
        <v>31</v>
      </c>
      <c r="L92" s="12">
        <v>12</v>
      </c>
      <c r="M92" s="12">
        <v>12</v>
      </c>
      <c r="N92" s="12">
        <v>34</v>
      </c>
    </row>
    <row r="93" spans="1:14" ht="19.5" thickBot="1" x14ac:dyDescent="0.3">
      <c r="A93" s="15">
        <v>9</v>
      </c>
      <c r="B93" s="12">
        <v>11</v>
      </c>
      <c r="C93" s="16">
        <v>98</v>
      </c>
      <c r="D93" s="16">
        <v>28</v>
      </c>
      <c r="E93" s="15">
        <v>49</v>
      </c>
      <c r="F93" s="17">
        <v>141</v>
      </c>
      <c r="G93" s="12">
        <v>41</v>
      </c>
      <c r="H93" s="12">
        <v>39</v>
      </c>
      <c r="I93" s="12">
        <v>1</v>
      </c>
      <c r="J93" s="12">
        <v>11</v>
      </c>
      <c r="K93" s="12">
        <v>27</v>
      </c>
      <c r="L93" s="12">
        <v>11</v>
      </c>
      <c r="M93" s="12">
        <v>11</v>
      </c>
      <c r="N93" s="12">
        <v>30</v>
      </c>
    </row>
    <row r="94" spans="1:14" ht="19.5" thickBot="1" x14ac:dyDescent="0.3">
      <c r="A94" s="15">
        <v>8</v>
      </c>
      <c r="B94" s="12">
        <v>10</v>
      </c>
      <c r="C94" s="16">
        <v>89</v>
      </c>
      <c r="D94" s="16">
        <v>27</v>
      </c>
      <c r="E94" s="15">
        <v>43</v>
      </c>
      <c r="F94" s="17">
        <v>113</v>
      </c>
      <c r="G94" s="12">
        <v>37</v>
      </c>
      <c r="H94" s="12">
        <v>35</v>
      </c>
      <c r="I94" s="12">
        <v>1</v>
      </c>
      <c r="J94" s="12">
        <v>11</v>
      </c>
      <c r="K94" s="12">
        <v>23</v>
      </c>
      <c r="L94" s="12">
        <v>10</v>
      </c>
      <c r="M94" s="12">
        <v>10</v>
      </c>
      <c r="N94" s="12">
        <v>27</v>
      </c>
    </row>
    <row r="95" spans="1:14" ht="19.5" thickBot="1" x14ac:dyDescent="0.3">
      <c r="A95" s="15">
        <v>7</v>
      </c>
      <c r="B95" s="12">
        <v>9</v>
      </c>
      <c r="C95" s="16">
        <v>80</v>
      </c>
      <c r="D95" s="16">
        <v>25</v>
      </c>
      <c r="E95" s="15">
        <v>38</v>
      </c>
      <c r="F95" s="17">
        <v>88</v>
      </c>
      <c r="G95" s="12">
        <v>33</v>
      </c>
      <c r="H95" s="12">
        <v>31</v>
      </c>
      <c r="I95" s="12">
        <v>1</v>
      </c>
      <c r="J95" s="12">
        <v>10</v>
      </c>
      <c r="K95" s="12">
        <v>20</v>
      </c>
      <c r="L95" s="12">
        <v>9</v>
      </c>
      <c r="M95" s="12">
        <v>9</v>
      </c>
      <c r="N95" s="12">
        <v>23</v>
      </c>
    </row>
    <row r="96" spans="1:14" ht="19.5" thickBot="1" x14ac:dyDescent="0.3">
      <c r="A96" s="15">
        <v>6</v>
      </c>
      <c r="B96" s="12">
        <v>8</v>
      </c>
      <c r="C96" s="16">
        <v>72</v>
      </c>
      <c r="D96" s="16">
        <v>24</v>
      </c>
      <c r="E96" s="15">
        <v>33</v>
      </c>
      <c r="F96" s="17">
        <v>67</v>
      </c>
      <c r="G96" s="12">
        <v>30</v>
      </c>
      <c r="H96" s="12">
        <v>28</v>
      </c>
      <c r="I96" s="12">
        <v>1</v>
      </c>
      <c r="J96" s="12">
        <v>9</v>
      </c>
      <c r="K96" s="12">
        <v>17</v>
      </c>
      <c r="L96" s="12">
        <v>8</v>
      </c>
      <c r="M96" s="12">
        <v>8</v>
      </c>
      <c r="N96" s="12">
        <v>20</v>
      </c>
    </row>
    <row r="97" spans="1:14" ht="19.5" thickBot="1" x14ac:dyDescent="0.3">
      <c r="A97" s="15">
        <v>5</v>
      </c>
      <c r="B97" s="12">
        <v>7</v>
      </c>
      <c r="C97" s="16">
        <v>64</v>
      </c>
      <c r="D97" s="16">
        <v>23</v>
      </c>
      <c r="E97" s="15">
        <v>29</v>
      </c>
      <c r="F97" s="17">
        <v>51</v>
      </c>
      <c r="G97" s="12">
        <v>26</v>
      </c>
      <c r="H97" s="12">
        <v>24</v>
      </c>
      <c r="I97" s="12">
        <v>1</v>
      </c>
      <c r="J97" s="12">
        <v>8</v>
      </c>
      <c r="K97" s="12">
        <v>15</v>
      </c>
      <c r="L97" s="12">
        <v>7</v>
      </c>
      <c r="M97" s="12">
        <v>7</v>
      </c>
      <c r="N97" s="12">
        <v>17</v>
      </c>
    </row>
    <row r="98" spans="1:14" ht="19.5" thickBot="1" x14ac:dyDescent="0.3">
      <c r="A98" s="15">
        <v>4</v>
      </c>
      <c r="B98" s="12">
        <v>7</v>
      </c>
      <c r="C98" s="16">
        <v>56</v>
      </c>
      <c r="D98" s="16">
        <v>21</v>
      </c>
      <c r="E98" s="15">
        <v>25</v>
      </c>
      <c r="F98" s="17">
        <v>38</v>
      </c>
      <c r="G98" s="12">
        <v>23</v>
      </c>
      <c r="H98" s="12">
        <v>21</v>
      </c>
      <c r="I98" s="12">
        <v>1</v>
      </c>
      <c r="J98" s="12">
        <v>7</v>
      </c>
      <c r="K98" s="12">
        <v>12</v>
      </c>
      <c r="L98" s="12">
        <v>7</v>
      </c>
      <c r="M98" s="12">
        <v>7</v>
      </c>
      <c r="N98" s="12">
        <v>15</v>
      </c>
    </row>
    <row r="99" spans="1:14" ht="19.5" thickBot="1" x14ac:dyDescent="0.3">
      <c r="A99" s="15">
        <v>3</v>
      </c>
      <c r="B99" s="12">
        <v>6</v>
      </c>
      <c r="C99" s="16">
        <v>49</v>
      </c>
      <c r="D99" s="16">
        <v>20</v>
      </c>
      <c r="E99" s="15">
        <v>21</v>
      </c>
      <c r="F99" s="17">
        <v>25</v>
      </c>
      <c r="G99" s="12">
        <v>20</v>
      </c>
      <c r="H99" s="12">
        <v>18</v>
      </c>
      <c r="I99" s="12">
        <v>1</v>
      </c>
      <c r="J99" s="12">
        <v>7</v>
      </c>
      <c r="K99" s="12">
        <v>10</v>
      </c>
      <c r="L99" s="12">
        <v>6</v>
      </c>
      <c r="M99" s="12">
        <v>6</v>
      </c>
      <c r="N99" s="12">
        <v>12</v>
      </c>
    </row>
    <row r="100" spans="1:14" ht="19.5" thickBot="1" x14ac:dyDescent="0.3">
      <c r="A100" s="15">
        <v>2</v>
      </c>
      <c r="B100" s="12">
        <v>6</v>
      </c>
      <c r="C100" s="16">
        <v>42</v>
      </c>
      <c r="D100" s="16">
        <v>19</v>
      </c>
      <c r="E100" s="15">
        <v>18</v>
      </c>
      <c r="F100" s="17">
        <v>20</v>
      </c>
      <c r="G100" s="12">
        <v>17</v>
      </c>
      <c r="H100" s="12">
        <v>15</v>
      </c>
      <c r="I100" s="12">
        <v>1</v>
      </c>
      <c r="J100" s="12">
        <v>6</v>
      </c>
      <c r="K100" s="12">
        <v>8</v>
      </c>
      <c r="L100" s="12">
        <v>6</v>
      </c>
      <c r="M100" s="12">
        <v>6</v>
      </c>
      <c r="N100" s="12">
        <v>10</v>
      </c>
    </row>
    <row r="101" spans="1:14" ht="19.5" thickBot="1" x14ac:dyDescent="0.3">
      <c r="A101" s="15">
        <v>1</v>
      </c>
      <c r="B101" s="12">
        <v>5</v>
      </c>
      <c r="C101" s="16">
        <v>36</v>
      </c>
      <c r="D101" s="16">
        <v>18</v>
      </c>
      <c r="E101" s="15">
        <v>15</v>
      </c>
      <c r="F101" s="17">
        <v>20</v>
      </c>
      <c r="G101" s="12">
        <v>15</v>
      </c>
      <c r="H101" s="12">
        <v>12</v>
      </c>
      <c r="I101" s="12">
        <v>1</v>
      </c>
      <c r="J101" s="12">
        <v>6</v>
      </c>
      <c r="K101" s="12">
        <v>6</v>
      </c>
      <c r="L101" s="12">
        <v>5</v>
      </c>
      <c r="M101" s="12">
        <v>5</v>
      </c>
      <c r="N101" s="12">
        <v>8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77F76-7A28-4F87-B8EC-D793BCD8DA84}">
  <sheetPr codeName="Sheet4"/>
  <dimension ref="A1:F2"/>
  <sheetViews>
    <sheetView workbookViewId="0">
      <selection activeCell="B3" sqref="B3"/>
    </sheetView>
  </sheetViews>
  <sheetFormatPr defaultRowHeight="18.75" x14ac:dyDescent="0.4"/>
  <sheetData>
    <row r="1" spans="1:6" x14ac:dyDescent="0.4">
      <c r="A1" t="s">
        <v>17</v>
      </c>
      <c r="B1" t="s">
        <v>16</v>
      </c>
      <c r="C1" t="s">
        <v>20</v>
      </c>
      <c r="D1" t="s">
        <v>18</v>
      </c>
      <c r="E1" t="s">
        <v>21</v>
      </c>
      <c r="F1" t="s">
        <v>19</v>
      </c>
    </row>
    <row r="2" spans="1:6" x14ac:dyDescent="0.4">
      <c r="A2">
        <v>1</v>
      </c>
      <c r="B2" t="s">
        <v>23</v>
      </c>
      <c r="C2" t="s">
        <v>22</v>
      </c>
      <c r="D2">
        <v>8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8D0EC-86DD-4788-BB1F-918B6D62A09A}">
  <sheetPr codeName="Sheet5"/>
  <dimension ref="A1:D84"/>
  <sheetViews>
    <sheetView zoomScale="85" zoomScaleNormal="85" workbookViewId="0">
      <selection activeCell="C2" sqref="C2"/>
    </sheetView>
  </sheetViews>
  <sheetFormatPr defaultRowHeight="18.75" x14ac:dyDescent="0.4"/>
  <sheetData>
    <row r="1" spans="1:4" x14ac:dyDescent="0.4">
      <c r="A1" t="s">
        <v>6</v>
      </c>
      <c r="B1" t="s">
        <v>14</v>
      </c>
      <c r="C1" t="s">
        <v>8</v>
      </c>
    </row>
    <row r="2" spans="1:4" x14ac:dyDescent="0.4">
      <c r="A2">
        <v>1</v>
      </c>
      <c r="B2">
        <v>15</v>
      </c>
      <c r="C2">
        <f t="shared" ref="C2:C33" si="0">1/100*(A2+4)^3+15</f>
        <v>16.25</v>
      </c>
      <c r="D2">
        <f>1/3*(A2+2)^2+15</f>
        <v>18</v>
      </c>
    </row>
    <row r="3" spans="1:4" x14ac:dyDescent="0.4">
      <c r="A3">
        <v>2</v>
      </c>
      <c r="B3">
        <v>18</v>
      </c>
      <c r="C3">
        <f t="shared" si="0"/>
        <v>17.16</v>
      </c>
    </row>
    <row r="4" spans="1:4" x14ac:dyDescent="0.4">
      <c r="A4">
        <v>3</v>
      </c>
      <c r="B4">
        <v>21</v>
      </c>
      <c r="C4">
        <f t="shared" si="0"/>
        <v>18.43</v>
      </c>
    </row>
    <row r="5" spans="1:4" x14ac:dyDescent="0.4">
      <c r="A5">
        <v>4</v>
      </c>
      <c r="B5">
        <v>25</v>
      </c>
      <c r="C5">
        <f t="shared" si="0"/>
        <v>20.12</v>
      </c>
    </row>
    <row r="6" spans="1:4" x14ac:dyDescent="0.4">
      <c r="A6">
        <v>5</v>
      </c>
      <c r="B6">
        <v>29</v>
      </c>
      <c r="C6">
        <f t="shared" si="0"/>
        <v>22.29</v>
      </c>
    </row>
    <row r="7" spans="1:4" x14ac:dyDescent="0.4">
      <c r="A7">
        <v>6</v>
      </c>
      <c r="B7">
        <v>33</v>
      </c>
      <c r="C7">
        <f t="shared" si="0"/>
        <v>25</v>
      </c>
    </row>
    <row r="8" spans="1:4" x14ac:dyDescent="0.4">
      <c r="A8">
        <v>7</v>
      </c>
      <c r="B8">
        <v>38</v>
      </c>
      <c r="C8">
        <f t="shared" si="0"/>
        <v>28.310000000000002</v>
      </c>
    </row>
    <row r="9" spans="1:4" x14ac:dyDescent="0.4">
      <c r="A9">
        <v>8</v>
      </c>
      <c r="B9">
        <v>43</v>
      </c>
      <c r="C9">
        <f t="shared" si="0"/>
        <v>32.28</v>
      </c>
    </row>
    <row r="10" spans="1:4" x14ac:dyDescent="0.4">
      <c r="A10">
        <v>9</v>
      </c>
      <c r="B10">
        <v>49</v>
      </c>
      <c r="C10">
        <f t="shared" si="0"/>
        <v>36.97</v>
      </c>
    </row>
    <row r="11" spans="1:4" x14ac:dyDescent="0.4">
      <c r="A11">
        <v>10</v>
      </c>
      <c r="B11">
        <v>55</v>
      </c>
      <c r="C11">
        <f t="shared" si="0"/>
        <v>42.44</v>
      </c>
    </row>
    <row r="12" spans="1:4" x14ac:dyDescent="0.4">
      <c r="A12">
        <v>11</v>
      </c>
      <c r="B12">
        <v>61</v>
      </c>
      <c r="C12">
        <f t="shared" si="0"/>
        <v>48.75</v>
      </c>
    </row>
    <row r="13" spans="1:4" x14ac:dyDescent="0.4">
      <c r="A13">
        <v>12</v>
      </c>
      <c r="B13">
        <v>68</v>
      </c>
      <c r="C13">
        <f t="shared" si="0"/>
        <v>55.96</v>
      </c>
    </row>
    <row r="14" spans="1:4" x14ac:dyDescent="0.4">
      <c r="A14">
        <v>13</v>
      </c>
      <c r="B14">
        <v>76</v>
      </c>
      <c r="C14">
        <f t="shared" si="0"/>
        <v>64.13</v>
      </c>
    </row>
    <row r="15" spans="1:4" x14ac:dyDescent="0.4">
      <c r="A15">
        <v>14</v>
      </c>
      <c r="B15">
        <v>85</v>
      </c>
      <c r="C15">
        <f t="shared" si="0"/>
        <v>73.319999999999993</v>
      </c>
    </row>
    <row r="16" spans="1:4" x14ac:dyDescent="0.4">
      <c r="A16">
        <v>15</v>
      </c>
      <c r="B16">
        <v>94</v>
      </c>
      <c r="C16">
        <f t="shared" si="0"/>
        <v>83.59</v>
      </c>
    </row>
    <row r="17" spans="1:3" x14ac:dyDescent="0.4">
      <c r="A17">
        <v>16</v>
      </c>
      <c r="B17">
        <v>114</v>
      </c>
      <c r="C17">
        <f t="shared" si="0"/>
        <v>95</v>
      </c>
    </row>
    <row r="18" spans="1:3" x14ac:dyDescent="0.4">
      <c r="A18">
        <v>17</v>
      </c>
      <c r="B18">
        <v>126</v>
      </c>
      <c r="C18">
        <f t="shared" si="0"/>
        <v>107.61</v>
      </c>
    </row>
    <row r="19" spans="1:3" x14ac:dyDescent="0.4">
      <c r="A19">
        <v>18</v>
      </c>
      <c r="B19">
        <v>138</v>
      </c>
      <c r="C19">
        <f t="shared" si="0"/>
        <v>121.48</v>
      </c>
    </row>
    <row r="20" spans="1:3" x14ac:dyDescent="0.4">
      <c r="A20">
        <v>19</v>
      </c>
      <c r="B20">
        <v>152</v>
      </c>
      <c r="C20">
        <f t="shared" si="0"/>
        <v>136.67000000000002</v>
      </c>
    </row>
    <row r="21" spans="1:3" x14ac:dyDescent="0.4">
      <c r="A21">
        <v>20</v>
      </c>
      <c r="B21">
        <v>166</v>
      </c>
      <c r="C21">
        <f t="shared" si="0"/>
        <v>153.24</v>
      </c>
    </row>
    <row r="22" spans="1:3" x14ac:dyDescent="0.4">
      <c r="A22">
        <v>21</v>
      </c>
      <c r="B22">
        <v>182</v>
      </c>
      <c r="C22">
        <f t="shared" si="0"/>
        <v>171.25</v>
      </c>
    </row>
    <row r="23" spans="1:3" x14ac:dyDescent="0.4">
      <c r="A23">
        <v>22</v>
      </c>
      <c r="B23">
        <v>199</v>
      </c>
      <c r="C23">
        <f t="shared" si="0"/>
        <v>190.76</v>
      </c>
    </row>
    <row r="24" spans="1:3" x14ac:dyDescent="0.4">
      <c r="A24">
        <v>23</v>
      </c>
      <c r="B24">
        <v>217</v>
      </c>
      <c r="C24">
        <f t="shared" si="0"/>
        <v>211.83</v>
      </c>
    </row>
    <row r="25" spans="1:3" x14ac:dyDescent="0.4">
      <c r="A25">
        <v>24</v>
      </c>
      <c r="B25">
        <v>236</v>
      </c>
      <c r="C25">
        <f t="shared" si="0"/>
        <v>234.52</v>
      </c>
    </row>
    <row r="26" spans="1:3" x14ac:dyDescent="0.4">
      <c r="A26">
        <v>25</v>
      </c>
      <c r="B26">
        <v>257</v>
      </c>
      <c r="C26">
        <f t="shared" si="0"/>
        <v>258.89</v>
      </c>
    </row>
    <row r="27" spans="1:3" x14ac:dyDescent="0.4">
      <c r="A27">
        <v>26</v>
      </c>
      <c r="B27">
        <v>280</v>
      </c>
      <c r="C27">
        <f t="shared" si="0"/>
        <v>285</v>
      </c>
    </row>
    <row r="28" spans="1:3" x14ac:dyDescent="0.4">
      <c r="A28">
        <v>27</v>
      </c>
      <c r="B28">
        <v>304</v>
      </c>
      <c r="C28">
        <f t="shared" si="0"/>
        <v>312.91000000000003</v>
      </c>
    </row>
    <row r="29" spans="1:3" x14ac:dyDescent="0.4">
      <c r="A29">
        <v>28</v>
      </c>
      <c r="B29">
        <v>331</v>
      </c>
      <c r="C29">
        <f t="shared" si="0"/>
        <v>342.68</v>
      </c>
    </row>
    <row r="30" spans="1:3" x14ac:dyDescent="0.4">
      <c r="A30">
        <v>29</v>
      </c>
      <c r="B30">
        <v>359</v>
      </c>
      <c r="C30">
        <f t="shared" si="0"/>
        <v>374.37</v>
      </c>
    </row>
    <row r="31" spans="1:3" x14ac:dyDescent="0.4">
      <c r="A31">
        <v>30</v>
      </c>
      <c r="B31">
        <v>389</v>
      </c>
      <c r="C31">
        <f t="shared" si="0"/>
        <v>408.04</v>
      </c>
    </row>
    <row r="32" spans="1:3" x14ac:dyDescent="0.4">
      <c r="A32">
        <v>31</v>
      </c>
      <c r="B32">
        <v>422</v>
      </c>
      <c r="C32">
        <f t="shared" si="0"/>
        <v>443.75</v>
      </c>
    </row>
    <row r="33" spans="1:3" x14ac:dyDescent="0.4">
      <c r="A33">
        <v>32</v>
      </c>
      <c r="B33">
        <v>456</v>
      </c>
      <c r="C33">
        <f t="shared" si="0"/>
        <v>481.56</v>
      </c>
    </row>
    <row r="34" spans="1:3" x14ac:dyDescent="0.4">
      <c r="A34">
        <v>33</v>
      </c>
      <c r="B34">
        <v>494</v>
      </c>
      <c r="C34">
        <f t="shared" ref="C34:C44" si="1">1/100*(A34+4)^3+15</f>
        <v>521.53</v>
      </c>
    </row>
    <row r="35" spans="1:3" x14ac:dyDescent="0.4">
      <c r="A35">
        <v>34</v>
      </c>
      <c r="B35">
        <v>534</v>
      </c>
      <c r="C35">
        <f t="shared" si="1"/>
        <v>563.72</v>
      </c>
    </row>
    <row r="36" spans="1:3" x14ac:dyDescent="0.4">
      <c r="A36">
        <v>35</v>
      </c>
      <c r="B36">
        <v>577</v>
      </c>
      <c r="C36">
        <f t="shared" si="1"/>
        <v>608.19000000000005</v>
      </c>
    </row>
    <row r="37" spans="1:3" x14ac:dyDescent="0.4">
      <c r="A37">
        <v>36</v>
      </c>
      <c r="B37">
        <v>624</v>
      </c>
      <c r="C37">
        <f t="shared" si="1"/>
        <v>655</v>
      </c>
    </row>
    <row r="38" spans="1:3" x14ac:dyDescent="0.4">
      <c r="A38">
        <v>37</v>
      </c>
      <c r="B38">
        <v>673</v>
      </c>
      <c r="C38">
        <f t="shared" si="1"/>
        <v>704.21</v>
      </c>
    </row>
    <row r="39" spans="1:3" x14ac:dyDescent="0.4">
      <c r="A39">
        <v>38</v>
      </c>
      <c r="B39">
        <v>726</v>
      </c>
      <c r="C39">
        <f t="shared" si="1"/>
        <v>755.88</v>
      </c>
    </row>
    <row r="40" spans="1:3" x14ac:dyDescent="0.4">
      <c r="A40">
        <v>39</v>
      </c>
      <c r="B40">
        <v>783</v>
      </c>
      <c r="C40">
        <f t="shared" si="1"/>
        <v>810.07</v>
      </c>
    </row>
    <row r="41" spans="1:3" x14ac:dyDescent="0.4">
      <c r="A41">
        <v>40</v>
      </c>
      <c r="B41">
        <v>844</v>
      </c>
      <c r="C41">
        <f t="shared" si="1"/>
        <v>866.84</v>
      </c>
    </row>
    <row r="42" spans="1:3" x14ac:dyDescent="0.4">
      <c r="A42">
        <v>41</v>
      </c>
      <c r="B42">
        <v>910</v>
      </c>
      <c r="C42">
        <f t="shared" si="1"/>
        <v>926.25</v>
      </c>
    </row>
    <row r="43" spans="1:3" x14ac:dyDescent="0.4">
      <c r="A43">
        <v>42</v>
      </c>
      <c r="B43">
        <v>980</v>
      </c>
      <c r="C43">
        <f t="shared" si="1"/>
        <v>988.36</v>
      </c>
    </row>
    <row r="44" spans="1:3" x14ac:dyDescent="0.4">
      <c r="A44">
        <v>43</v>
      </c>
      <c r="B44">
        <v>1055</v>
      </c>
      <c r="C44">
        <f t="shared" si="1"/>
        <v>1053.23</v>
      </c>
    </row>
    <row r="45" spans="1:3" x14ac:dyDescent="0.4">
      <c r="A45">
        <v>44</v>
      </c>
      <c r="B45">
        <v>1135</v>
      </c>
      <c r="C45">
        <f t="shared" ref="C45:C84" si="2">1/10*(A45-30)^3+880</f>
        <v>1154.4000000000001</v>
      </c>
    </row>
    <row r="46" spans="1:3" x14ac:dyDescent="0.4">
      <c r="A46">
        <v>45</v>
      </c>
      <c r="B46">
        <v>1221</v>
      </c>
      <c r="C46">
        <f t="shared" si="2"/>
        <v>1217.5</v>
      </c>
    </row>
    <row r="47" spans="1:3" x14ac:dyDescent="0.4">
      <c r="A47">
        <v>46</v>
      </c>
      <c r="B47">
        <v>1303</v>
      </c>
      <c r="C47">
        <f t="shared" si="2"/>
        <v>1289.5999999999999</v>
      </c>
    </row>
    <row r="48" spans="1:3" x14ac:dyDescent="0.4">
      <c r="A48">
        <v>47</v>
      </c>
      <c r="B48">
        <v>1411</v>
      </c>
      <c r="C48">
        <f t="shared" si="2"/>
        <v>1371.3</v>
      </c>
    </row>
    <row r="49" spans="1:3" x14ac:dyDescent="0.4">
      <c r="A49">
        <v>48</v>
      </c>
      <c r="B49">
        <v>1516</v>
      </c>
      <c r="C49">
        <f t="shared" si="2"/>
        <v>1463.2</v>
      </c>
    </row>
    <row r="50" spans="1:3" x14ac:dyDescent="0.4">
      <c r="A50">
        <v>49</v>
      </c>
      <c r="B50">
        <v>1629</v>
      </c>
      <c r="C50">
        <f t="shared" si="2"/>
        <v>1565.9</v>
      </c>
    </row>
    <row r="51" spans="1:3" x14ac:dyDescent="0.4">
      <c r="A51">
        <v>50</v>
      </c>
      <c r="B51">
        <v>1749</v>
      </c>
      <c r="C51">
        <f t="shared" si="2"/>
        <v>1680</v>
      </c>
    </row>
    <row r="52" spans="1:3" x14ac:dyDescent="0.4">
      <c r="A52">
        <v>51</v>
      </c>
      <c r="B52">
        <v>1878</v>
      </c>
      <c r="C52">
        <f t="shared" si="2"/>
        <v>1806.1</v>
      </c>
    </row>
    <row r="53" spans="1:3" x14ac:dyDescent="0.4">
      <c r="A53">
        <v>52</v>
      </c>
      <c r="B53">
        <v>2015</v>
      </c>
      <c r="C53">
        <f t="shared" si="2"/>
        <v>1944.8</v>
      </c>
    </row>
    <row r="54" spans="1:3" x14ac:dyDescent="0.4">
      <c r="A54">
        <v>53</v>
      </c>
      <c r="B54">
        <v>2162</v>
      </c>
      <c r="C54">
        <f t="shared" si="2"/>
        <v>2096.6999999999998</v>
      </c>
    </row>
    <row r="55" spans="1:3" x14ac:dyDescent="0.4">
      <c r="A55">
        <v>54</v>
      </c>
      <c r="B55">
        <v>2319</v>
      </c>
      <c r="C55">
        <f t="shared" si="2"/>
        <v>2262.4</v>
      </c>
    </row>
    <row r="56" spans="1:3" x14ac:dyDescent="0.4">
      <c r="A56">
        <v>55</v>
      </c>
      <c r="B56">
        <v>2486</v>
      </c>
      <c r="C56">
        <f t="shared" si="2"/>
        <v>2442.5</v>
      </c>
    </row>
    <row r="57" spans="1:3" x14ac:dyDescent="0.4">
      <c r="A57">
        <v>56</v>
      </c>
      <c r="B57">
        <v>2665</v>
      </c>
      <c r="C57">
        <f t="shared" si="2"/>
        <v>2637.6000000000004</v>
      </c>
    </row>
    <row r="58" spans="1:3" x14ac:dyDescent="0.4">
      <c r="A58">
        <v>57</v>
      </c>
      <c r="B58">
        <v>2857</v>
      </c>
      <c r="C58">
        <f t="shared" si="2"/>
        <v>2848.3</v>
      </c>
    </row>
    <row r="59" spans="1:3" x14ac:dyDescent="0.4">
      <c r="A59">
        <v>58</v>
      </c>
      <c r="B59">
        <v>3061</v>
      </c>
      <c r="C59">
        <f t="shared" si="2"/>
        <v>3075.2000000000003</v>
      </c>
    </row>
    <row r="60" spans="1:3" x14ac:dyDescent="0.4">
      <c r="A60">
        <v>59</v>
      </c>
      <c r="B60">
        <v>3279</v>
      </c>
      <c r="C60">
        <f t="shared" si="2"/>
        <v>3318.9</v>
      </c>
    </row>
    <row r="61" spans="1:3" x14ac:dyDescent="0.4">
      <c r="A61">
        <v>60</v>
      </c>
      <c r="B61">
        <v>3512</v>
      </c>
      <c r="C61">
        <f t="shared" si="2"/>
        <v>3580</v>
      </c>
    </row>
    <row r="62" spans="1:3" x14ac:dyDescent="0.4">
      <c r="A62">
        <v>61</v>
      </c>
      <c r="B62">
        <v>3760</v>
      </c>
      <c r="C62">
        <f t="shared" si="2"/>
        <v>3859.1000000000004</v>
      </c>
    </row>
    <row r="63" spans="1:3" x14ac:dyDescent="0.4">
      <c r="A63">
        <v>62</v>
      </c>
      <c r="B63">
        <v>4025</v>
      </c>
      <c r="C63">
        <f t="shared" si="2"/>
        <v>4156.8</v>
      </c>
    </row>
    <row r="64" spans="1:3" x14ac:dyDescent="0.4">
      <c r="A64">
        <v>63</v>
      </c>
      <c r="B64">
        <v>4308</v>
      </c>
      <c r="C64">
        <f t="shared" si="2"/>
        <v>4473.7000000000007</v>
      </c>
    </row>
    <row r="65" spans="1:3" x14ac:dyDescent="0.4">
      <c r="A65">
        <v>64</v>
      </c>
      <c r="B65">
        <v>4610</v>
      </c>
      <c r="C65">
        <f t="shared" si="2"/>
        <v>4810.3999999999996</v>
      </c>
    </row>
    <row r="66" spans="1:3" x14ac:dyDescent="0.4">
      <c r="A66">
        <v>65</v>
      </c>
      <c r="B66">
        <v>4932</v>
      </c>
      <c r="C66">
        <f t="shared" si="2"/>
        <v>5167.5</v>
      </c>
    </row>
    <row r="67" spans="1:3" x14ac:dyDescent="0.4">
      <c r="A67">
        <v>66</v>
      </c>
      <c r="B67">
        <v>5276</v>
      </c>
      <c r="C67">
        <f t="shared" si="2"/>
        <v>5545.6</v>
      </c>
    </row>
    <row r="68" spans="1:3" x14ac:dyDescent="0.4">
      <c r="A68">
        <v>67</v>
      </c>
      <c r="B68">
        <v>5642</v>
      </c>
      <c r="C68">
        <f t="shared" si="2"/>
        <v>5945.3</v>
      </c>
    </row>
    <row r="69" spans="1:3" x14ac:dyDescent="0.4">
      <c r="A69">
        <v>68</v>
      </c>
      <c r="B69">
        <v>6033</v>
      </c>
      <c r="C69">
        <f t="shared" si="2"/>
        <v>6367.2000000000007</v>
      </c>
    </row>
    <row r="70" spans="1:3" x14ac:dyDescent="0.4">
      <c r="A70">
        <v>69</v>
      </c>
      <c r="B70">
        <v>6449</v>
      </c>
      <c r="C70">
        <f t="shared" si="2"/>
        <v>6811.9000000000005</v>
      </c>
    </row>
    <row r="71" spans="1:3" x14ac:dyDescent="0.4">
      <c r="A71">
        <v>70</v>
      </c>
      <c r="B71">
        <v>6894</v>
      </c>
      <c r="C71">
        <f t="shared" si="2"/>
        <v>7280</v>
      </c>
    </row>
    <row r="72" spans="1:3" x14ac:dyDescent="0.4">
      <c r="A72">
        <v>71</v>
      </c>
      <c r="B72">
        <v>7367</v>
      </c>
      <c r="C72">
        <f t="shared" si="2"/>
        <v>7772.1</v>
      </c>
    </row>
    <row r="73" spans="1:3" x14ac:dyDescent="0.4">
      <c r="A73">
        <v>72</v>
      </c>
      <c r="B73">
        <v>7872</v>
      </c>
      <c r="C73">
        <f t="shared" si="2"/>
        <v>8288.7999999999993</v>
      </c>
    </row>
    <row r="74" spans="1:3" x14ac:dyDescent="0.4">
      <c r="A74">
        <v>73</v>
      </c>
      <c r="B74">
        <v>8410</v>
      </c>
      <c r="C74">
        <f t="shared" si="2"/>
        <v>8830.7000000000007</v>
      </c>
    </row>
    <row r="75" spans="1:3" x14ac:dyDescent="0.4">
      <c r="A75">
        <v>74</v>
      </c>
      <c r="B75">
        <v>8984</v>
      </c>
      <c r="C75">
        <f t="shared" si="2"/>
        <v>9398.4</v>
      </c>
    </row>
    <row r="76" spans="1:3" x14ac:dyDescent="0.4">
      <c r="A76">
        <v>75</v>
      </c>
      <c r="B76">
        <v>9595</v>
      </c>
      <c r="C76">
        <f t="shared" si="2"/>
        <v>9992.5</v>
      </c>
    </row>
    <row r="77" spans="1:3" x14ac:dyDescent="0.4">
      <c r="A77">
        <v>76</v>
      </c>
      <c r="B77">
        <v>10246</v>
      </c>
      <c r="C77">
        <f t="shared" si="2"/>
        <v>10613.6</v>
      </c>
    </row>
    <row r="78" spans="1:3" x14ac:dyDescent="0.4">
      <c r="A78">
        <v>77</v>
      </c>
      <c r="B78">
        <v>10940</v>
      </c>
      <c r="C78">
        <f t="shared" si="2"/>
        <v>11262.300000000001</v>
      </c>
    </row>
    <row r="79" spans="1:3" x14ac:dyDescent="0.4">
      <c r="A79">
        <v>78</v>
      </c>
      <c r="B79">
        <v>11679</v>
      </c>
      <c r="C79">
        <f t="shared" si="2"/>
        <v>11939.2</v>
      </c>
    </row>
    <row r="80" spans="1:3" x14ac:dyDescent="0.4">
      <c r="A80">
        <v>79</v>
      </c>
      <c r="B80">
        <v>12466</v>
      </c>
      <c r="C80">
        <f t="shared" si="2"/>
        <v>12644.900000000001</v>
      </c>
    </row>
    <row r="81" spans="1:3" x14ac:dyDescent="0.4">
      <c r="A81">
        <v>80</v>
      </c>
      <c r="B81">
        <v>13304</v>
      </c>
      <c r="C81">
        <f t="shared" si="2"/>
        <v>13380</v>
      </c>
    </row>
    <row r="82" spans="1:3" x14ac:dyDescent="0.4">
      <c r="A82">
        <v>81</v>
      </c>
      <c r="B82">
        <v>14198</v>
      </c>
      <c r="C82">
        <f t="shared" si="2"/>
        <v>14145.1</v>
      </c>
    </row>
    <row r="83" spans="1:3" x14ac:dyDescent="0.4">
      <c r="A83">
        <v>82</v>
      </c>
      <c r="B83">
        <v>15149</v>
      </c>
      <c r="C83">
        <f t="shared" si="2"/>
        <v>14940.800000000001</v>
      </c>
    </row>
    <row r="84" spans="1:3" x14ac:dyDescent="0.4">
      <c r="A84">
        <v>83</v>
      </c>
      <c r="B84">
        <v>16161</v>
      </c>
      <c r="C84">
        <f t="shared" si="2"/>
        <v>15767.7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D2FEC-AB51-471F-9991-4291DA26EA73}">
  <sheetPr codeName="Sheet6"/>
  <dimension ref="A1:E101"/>
  <sheetViews>
    <sheetView topLeftCell="A26" zoomScale="85" zoomScaleNormal="85" workbookViewId="0">
      <selection activeCell="F98" sqref="F98"/>
    </sheetView>
  </sheetViews>
  <sheetFormatPr defaultRowHeight="18.75" x14ac:dyDescent="0.4"/>
  <sheetData>
    <row r="1" spans="1:5" x14ac:dyDescent="0.4">
      <c r="A1" t="s">
        <v>6</v>
      </c>
      <c r="B1" t="s">
        <v>15</v>
      </c>
      <c r="C1" t="s">
        <v>8</v>
      </c>
    </row>
    <row r="2" spans="1:5" x14ac:dyDescent="0.4">
      <c r="A2">
        <v>1</v>
      </c>
      <c r="B2">
        <v>5</v>
      </c>
      <c r="C2">
        <f t="shared" ref="C2:C33" si="0">0.04*(A2+4)^2+4</f>
        <v>5</v>
      </c>
      <c r="D2" t="s">
        <v>9</v>
      </c>
      <c r="E2" t="s">
        <v>11</v>
      </c>
    </row>
    <row r="3" spans="1:5" x14ac:dyDescent="0.4">
      <c r="A3">
        <v>2</v>
      </c>
      <c r="B3">
        <v>6</v>
      </c>
      <c r="C3">
        <f t="shared" si="0"/>
        <v>5.4399999999999995</v>
      </c>
      <c r="D3" t="s">
        <v>10</v>
      </c>
      <c r="E3" t="s">
        <v>12</v>
      </c>
    </row>
    <row r="4" spans="1:5" x14ac:dyDescent="0.4">
      <c r="A4">
        <v>3</v>
      </c>
      <c r="B4">
        <v>6</v>
      </c>
      <c r="C4">
        <f t="shared" si="0"/>
        <v>5.96</v>
      </c>
    </row>
    <row r="5" spans="1:5" x14ac:dyDescent="0.4">
      <c r="A5">
        <v>4</v>
      </c>
      <c r="B5">
        <v>7</v>
      </c>
      <c r="C5">
        <f t="shared" si="0"/>
        <v>6.5600000000000005</v>
      </c>
    </row>
    <row r="6" spans="1:5" x14ac:dyDescent="0.4">
      <c r="A6">
        <v>5</v>
      </c>
      <c r="B6">
        <v>7</v>
      </c>
      <c r="C6">
        <f t="shared" si="0"/>
        <v>7.24</v>
      </c>
    </row>
    <row r="7" spans="1:5" x14ac:dyDescent="0.4">
      <c r="A7">
        <v>6</v>
      </c>
      <c r="B7">
        <v>8</v>
      </c>
      <c r="C7">
        <f t="shared" si="0"/>
        <v>8</v>
      </c>
    </row>
    <row r="8" spans="1:5" x14ac:dyDescent="0.4">
      <c r="A8">
        <v>7</v>
      </c>
      <c r="B8">
        <v>9</v>
      </c>
      <c r="C8">
        <f t="shared" si="0"/>
        <v>8.84</v>
      </c>
    </row>
    <row r="9" spans="1:5" x14ac:dyDescent="0.4">
      <c r="A9">
        <v>8</v>
      </c>
      <c r="B9">
        <v>10</v>
      </c>
      <c r="C9">
        <f t="shared" si="0"/>
        <v>9.76</v>
      </c>
    </row>
    <row r="10" spans="1:5" x14ac:dyDescent="0.4">
      <c r="A10">
        <v>9</v>
      </c>
      <c r="B10">
        <v>11</v>
      </c>
      <c r="C10">
        <f t="shared" si="0"/>
        <v>10.76</v>
      </c>
    </row>
    <row r="11" spans="1:5" x14ac:dyDescent="0.4">
      <c r="A11">
        <v>10</v>
      </c>
      <c r="B11">
        <v>12</v>
      </c>
      <c r="C11">
        <f t="shared" si="0"/>
        <v>11.84</v>
      </c>
    </row>
    <row r="12" spans="1:5" x14ac:dyDescent="0.4">
      <c r="A12">
        <v>11</v>
      </c>
      <c r="B12">
        <v>13</v>
      </c>
      <c r="C12">
        <f t="shared" si="0"/>
        <v>13</v>
      </c>
    </row>
    <row r="13" spans="1:5" x14ac:dyDescent="0.4">
      <c r="A13">
        <v>12</v>
      </c>
      <c r="B13">
        <v>14</v>
      </c>
      <c r="C13">
        <f t="shared" si="0"/>
        <v>14.24</v>
      </c>
    </row>
    <row r="14" spans="1:5" x14ac:dyDescent="0.4">
      <c r="A14">
        <v>13</v>
      </c>
      <c r="B14">
        <v>15</v>
      </c>
      <c r="C14">
        <f t="shared" si="0"/>
        <v>15.56</v>
      </c>
    </row>
    <row r="15" spans="1:5" x14ac:dyDescent="0.4">
      <c r="A15">
        <v>14</v>
      </c>
      <c r="B15">
        <v>16</v>
      </c>
      <c r="C15">
        <f t="shared" si="0"/>
        <v>16.96</v>
      </c>
    </row>
    <row r="16" spans="1:5" x14ac:dyDescent="0.4">
      <c r="A16">
        <v>15</v>
      </c>
      <c r="B16">
        <v>17</v>
      </c>
      <c r="C16">
        <f t="shared" si="0"/>
        <v>18.439999999999998</v>
      </c>
    </row>
    <row r="17" spans="1:3" x14ac:dyDescent="0.4">
      <c r="A17">
        <v>16</v>
      </c>
      <c r="B17">
        <v>18</v>
      </c>
      <c r="C17">
        <f t="shared" si="0"/>
        <v>20</v>
      </c>
    </row>
    <row r="18" spans="1:3" x14ac:dyDescent="0.4">
      <c r="A18">
        <v>17</v>
      </c>
      <c r="B18">
        <v>20</v>
      </c>
      <c r="C18">
        <f t="shared" si="0"/>
        <v>21.64</v>
      </c>
    </row>
    <row r="19" spans="1:3" x14ac:dyDescent="0.4">
      <c r="A19">
        <v>18</v>
      </c>
      <c r="B19">
        <v>21</v>
      </c>
      <c r="C19">
        <f t="shared" si="0"/>
        <v>23.36</v>
      </c>
    </row>
    <row r="20" spans="1:3" x14ac:dyDescent="0.4">
      <c r="A20">
        <v>19</v>
      </c>
      <c r="B20">
        <v>23</v>
      </c>
      <c r="C20">
        <f t="shared" si="0"/>
        <v>25.16</v>
      </c>
    </row>
    <row r="21" spans="1:3" x14ac:dyDescent="0.4">
      <c r="A21">
        <v>20</v>
      </c>
      <c r="B21">
        <v>24</v>
      </c>
      <c r="C21">
        <f t="shared" si="0"/>
        <v>27.04</v>
      </c>
    </row>
    <row r="22" spans="1:3" x14ac:dyDescent="0.4">
      <c r="A22">
        <v>21</v>
      </c>
      <c r="B22">
        <v>26</v>
      </c>
      <c r="C22">
        <f t="shared" si="0"/>
        <v>29</v>
      </c>
    </row>
    <row r="23" spans="1:3" x14ac:dyDescent="0.4">
      <c r="A23">
        <v>22</v>
      </c>
      <c r="B23">
        <v>28</v>
      </c>
      <c r="C23">
        <f t="shared" si="0"/>
        <v>31.04</v>
      </c>
    </row>
    <row r="24" spans="1:3" x14ac:dyDescent="0.4">
      <c r="A24">
        <v>23</v>
      </c>
      <c r="B24">
        <v>30</v>
      </c>
      <c r="C24">
        <f t="shared" si="0"/>
        <v>33.159999999999997</v>
      </c>
    </row>
    <row r="25" spans="1:3" x14ac:dyDescent="0.4">
      <c r="A25">
        <v>24</v>
      </c>
      <c r="B25">
        <v>32</v>
      </c>
      <c r="C25">
        <f t="shared" si="0"/>
        <v>35.36</v>
      </c>
    </row>
    <row r="26" spans="1:3" x14ac:dyDescent="0.4">
      <c r="A26">
        <v>25</v>
      </c>
      <c r="B26">
        <v>34</v>
      </c>
      <c r="C26">
        <f t="shared" si="0"/>
        <v>37.64</v>
      </c>
    </row>
    <row r="27" spans="1:3" x14ac:dyDescent="0.4">
      <c r="A27">
        <v>26</v>
      </c>
      <c r="B27">
        <v>36</v>
      </c>
      <c r="C27">
        <f t="shared" si="0"/>
        <v>40</v>
      </c>
    </row>
    <row r="28" spans="1:3" x14ac:dyDescent="0.4">
      <c r="A28">
        <v>27</v>
      </c>
      <c r="B28">
        <v>39</v>
      </c>
      <c r="C28">
        <f t="shared" si="0"/>
        <v>42.44</v>
      </c>
    </row>
    <row r="29" spans="1:3" x14ac:dyDescent="0.4">
      <c r="A29">
        <v>28</v>
      </c>
      <c r="B29">
        <v>41</v>
      </c>
      <c r="C29">
        <f t="shared" si="0"/>
        <v>44.96</v>
      </c>
    </row>
    <row r="30" spans="1:3" x14ac:dyDescent="0.4">
      <c r="A30">
        <v>29</v>
      </c>
      <c r="B30">
        <v>44</v>
      </c>
      <c r="C30">
        <f t="shared" si="0"/>
        <v>47.56</v>
      </c>
    </row>
    <row r="31" spans="1:3" x14ac:dyDescent="0.4">
      <c r="A31">
        <v>30</v>
      </c>
      <c r="B31">
        <v>47</v>
      </c>
      <c r="C31">
        <f t="shared" si="0"/>
        <v>50.24</v>
      </c>
    </row>
    <row r="32" spans="1:3" x14ac:dyDescent="0.4">
      <c r="A32">
        <v>31</v>
      </c>
      <c r="B32">
        <v>50</v>
      </c>
      <c r="C32">
        <f t="shared" si="0"/>
        <v>53</v>
      </c>
    </row>
    <row r="33" spans="1:3" x14ac:dyDescent="0.4">
      <c r="A33">
        <v>32</v>
      </c>
      <c r="B33">
        <v>53</v>
      </c>
      <c r="C33">
        <f t="shared" si="0"/>
        <v>55.84</v>
      </c>
    </row>
    <row r="34" spans="1:3" x14ac:dyDescent="0.4">
      <c r="A34">
        <v>33</v>
      </c>
      <c r="B34">
        <v>56</v>
      </c>
      <c r="C34">
        <f t="shared" ref="C34:C39" si="1">0.04*(A34+4)^2+4</f>
        <v>58.76</v>
      </c>
    </row>
    <row r="35" spans="1:3" x14ac:dyDescent="0.4">
      <c r="A35">
        <v>34</v>
      </c>
      <c r="B35">
        <v>59</v>
      </c>
      <c r="C35">
        <f t="shared" si="1"/>
        <v>61.76</v>
      </c>
    </row>
    <row r="36" spans="1:3" x14ac:dyDescent="0.4">
      <c r="A36">
        <v>35</v>
      </c>
      <c r="B36">
        <v>63</v>
      </c>
      <c r="C36">
        <f t="shared" si="1"/>
        <v>64.84</v>
      </c>
    </row>
    <row r="37" spans="1:3" x14ac:dyDescent="0.4">
      <c r="A37">
        <v>36</v>
      </c>
      <c r="B37">
        <v>67</v>
      </c>
      <c r="C37">
        <f t="shared" si="1"/>
        <v>68</v>
      </c>
    </row>
    <row r="38" spans="1:3" x14ac:dyDescent="0.4">
      <c r="A38">
        <v>37</v>
      </c>
      <c r="B38">
        <v>71</v>
      </c>
      <c r="C38">
        <f t="shared" si="1"/>
        <v>71.239999999999995</v>
      </c>
    </row>
    <row r="39" spans="1:3" x14ac:dyDescent="0.4">
      <c r="A39">
        <v>38</v>
      </c>
      <c r="B39">
        <v>75</v>
      </c>
      <c r="C39">
        <f t="shared" si="1"/>
        <v>74.56</v>
      </c>
    </row>
    <row r="40" spans="1:3" x14ac:dyDescent="0.4">
      <c r="A40">
        <v>39</v>
      </c>
      <c r="B40">
        <v>80</v>
      </c>
      <c r="C40">
        <f>0.25*(A40-32)^2+65</f>
        <v>77.25</v>
      </c>
    </row>
    <row r="41" spans="1:3" x14ac:dyDescent="0.4">
      <c r="A41">
        <v>40</v>
      </c>
      <c r="B41">
        <v>84</v>
      </c>
      <c r="C41">
        <f t="shared" ref="C41:C84" si="2">0.25*(A41-32)^2+65</f>
        <v>81</v>
      </c>
    </row>
    <row r="42" spans="1:3" x14ac:dyDescent="0.4">
      <c r="A42">
        <v>41</v>
      </c>
      <c r="B42">
        <v>89</v>
      </c>
      <c r="C42">
        <f t="shared" si="2"/>
        <v>85.25</v>
      </c>
    </row>
    <row r="43" spans="1:3" x14ac:dyDescent="0.4">
      <c r="A43">
        <v>42</v>
      </c>
      <c r="B43">
        <v>94</v>
      </c>
      <c r="C43">
        <f t="shared" si="2"/>
        <v>90</v>
      </c>
    </row>
    <row r="44" spans="1:3" x14ac:dyDescent="0.4">
      <c r="A44">
        <v>43</v>
      </c>
      <c r="B44">
        <v>100</v>
      </c>
      <c r="C44">
        <f t="shared" si="2"/>
        <v>95.25</v>
      </c>
    </row>
    <row r="45" spans="1:3" x14ac:dyDescent="0.4">
      <c r="A45">
        <v>44</v>
      </c>
      <c r="B45">
        <v>106</v>
      </c>
      <c r="C45">
        <f t="shared" si="2"/>
        <v>101</v>
      </c>
    </row>
    <row r="46" spans="1:3" x14ac:dyDescent="0.4">
      <c r="A46">
        <v>45</v>
      </c>
      <c r="B46">
        <v>112</v>
      </c>
      <c r="C46">
        <f t="shared" si="2"/>
        <v>107.25</v>
      </c>
    </row>
    <row r="47" spans="1:3" x14ac:dyDescent="0.4">
      <c r="A47">
        <v>46</v>
      </c>
      <c r="B47">
        <v>118</v>
      </c>
      <c r="C47">
        <f t="shared" si="2"/>
        <v>114</v>
      </c>
    </row>
    <row r="48" spans="1:3" x14ac:dyDescent="0.4">
      <c r="A48">
        <v>47</v>
      </c>
      <c r="B48">
        <v>125</v>
      </c>
      <c r="C48">
        <f t="shared" si="2"/>
        <v>121.25</v>
      </c>
    </row>
    <row r="49" spans="1:3" x14ac:dyDescent="0.4">
      <c r="A49">
        <v>48</v>
      </c>
      <c r="B49">
        <v>131</v>
      </c>
      <c r="C49">
        <f t="shared" si="2"/>
        <v>129</v>
      </c>
    </row>
    <row r="50" spans="1:3" x14ac:dyDescent="0.4">
      <c r="A50">
        <v>49</v>
      </c>
      <c r="B50">
        <v>139</v>
      </c>
      <c r="C50">
        <f t="shared" si="2"/>
        <v>137.25</v>
      </c>
    </row>
    <row r="51" spans="1:3" x14ac:dyDescent="0.4">
      <c r="A51">
        <v>50</v>
      </c>
      <c r="B51">
        <v>147</v>
      </c>
      <c r="C51">
        <f t="shared" si="2"/>
        <v>146</v>
      </c>
    </row>
    <row r="52" spans="1:3" x14ac:dyDescent="0.4">
      <c r="A52">
        <v>51</v>
      </c>
      <c r="B52">
        <v>155</v>
      </c>
      <c r="C52">
        <f t="shared" si="2"/>
        <v>155.25</v>
      </c>
    </row>
    <row r="53" spans="1:3" x14ac:dyDescent="0.4">
      <c r="A53">
        <v>52</v>
      </c>
      <c r="B53">
        <v>163</v>
      </c>
      <c r="C53">
        <f t="shared" si="2"/>
        <v>165</v>
      </c>
    </row>
    <row r="54" spans="1:3" x14ac:dyDescent="0.4">
      <c r="A54">
        <v>53</v>
      </c>
      <c r="B54">
        <v>172</v>
      </c>
      <c r="C54">
        <f t="shared" si="2"/>
        <v>175.25</v>
      </c>
    </row>
    <row r="55" spans="1:3" x14ac:dyDescent="0.4">
      <c r="A55">
        <v>54</v>
      </c>
      <c r="B55">
        <v>181</v>
      </c>
      <c r="C55">
        <f t="shared" si="2"/>
        <v>186</v>
      </c>
    </row>
    <row r="56" spans="1:3" x14ac:dyDescent="0.4">
      <c r="A56">
        <v>55</v>
      </c>
      <c r="B56">
        <v>191</v>
      </c>
      <c r="C56">
        <f t="shared" si="2"/>
        <v>197.25</v>
      </c>
    </row>
    <row r="57" spans="1:3" x14ac:dyDescent="0.4">
      <c r="A57">
        <v>56</v>
      </c>
      <c r="B57">
        <v>202</v>
      </c>
      <c r="C57">
        <f t="shared" si="2"/>
        <v>209</v>
      </c>
    </row>
    <row r="58" spans="1:3" x14ac:dyDescent="0.4">
      <c r="A58">
        <v>57</v>
      </c>
      <c r="B58">
        <v>212</v>
      </c>
      <c r="C58">
        <f t="shared" si="2"/>
        <v>221.25</v>
      </c>
    </row>
    <row r="59" spans="1:3" x14ac:dyDescent="0.4">
      <c r="A59">
        <v>58</v>
      </c>
      <c r="B59">
        <v>224</v>
      </c>
      <c r="C59">
        <f t="shared" si="2"/>
        <v>234</v>
      </c>
    </row>
    <row r="60" spans="1:3" x14ac:dyDescent="0.4">
      <c r="A60">
        <v>59</v>
      </c>
      <c r="B60">
        <v>236</v>
      </c>
      <c r="C60">
        <f t="shared" si="2"/>
        <v>247.25</v>
      </c>
    </row>
    <row r="61" spans="1:3" x14ac:dyDescent="0.4">
      <c r="A61">
        <v>60</v>
      </c>
      <c r="B61">
        <v>248</v>
      </c>
      <c r="C61">
        <f t="shared" si="2"/>
        <v>261</v>
      </c>
    </row>
    <row r="62" spans="1:3" x14ac:dyDescent="0.4">
      <c r="A62">
        <v>61</v>
      </c>
      <c r="B62">
        <v>262</v>
      </c>
      <c r="C62">
        <f t="shared" si="2"/>
        <v>275.25</v>
      </c>
    </row>
    <row r="63" spans="1:3" x14ac:dyDescent="0.4">
      <c r="A63">
        <v>62</v>
      </c>
      <c r="B63">
        <v>275</v>
      </c>
      <c r="C63">
        <f t="shared" si="2"/>
        <v>290</v>
      </c>
    </row>
    <row r="64" spans="1:3" x14ac:dyDescent="0.4">
      <c r="A64">
        <v>63</v>
      </c>
      <c r="B64">
        <v>290</v>
      </c>
      <c r="C64">
        <f t="shared" si="2"/>
        <v>305.25</v>
      </c>
    </row>
    <row r="65" spans="1:3" x14ac:dyDescent="0.4">
      <c r="A65">
        <v>64</v>
      </c>
      <c r="B65">
        <v>305</v>
      </c>
      <c r="C65">
        <f t="shared" si="2"/>
        <v>321</v>
      </c>
    </row>
    <row r="66" spans="1:3" x14ac:dyDescent="0.4">
      <c r="A66">
        <v>65</v>
      </c>
      <c r="B66">
        <v>321</v>
      </c>
      <c r="C66">
        <f t="shared" si="2"/>
        <v>337.25</v>
      </c>
    </row>
    <row r="67" spans="1:3" x14ac:dyDescent="0.4">
      <c r="A67">
        <v>66</v>
      </c>
      <c r="B67">
        <v>338</v>
      </c>
      <c r="C67">
        <f t="shared" si="2"/>
        <v>354</v>
      </c>
    </row>
    <row r="68" spans="1:3" x14ac:dyDescent="0.4">
      <c r="A68">
        <v>67</v>
      </c>
      <c r="B68">
        <v>355</v>
      </c>
      <c r="C68">
        <f t="shared" si="2"/>
        <v>371.25</v>
      </c>
    </row>
    <row r="69" spans="1:3" x14ac:dyDescent="0.4">
      <c r="A69">
        <v>68</v>
      </c>
      <c r="B69">
        <v>374</v>
      </c>
      <c r="C69">
        <f t="shared" si="2"/>
        <v>389</v>
      </c>
    </row>
    <row r="70" spans="1:3" x14ac:dyDescent="0.4">
      <c r="A70">
        <v>69</v>
      </c>
      <c r="B70">
        <v>393</v>
      </c>
      <c r="C70">
        <f t="shared" si="2"/>
        <v>407.25</v>
      </c>
    </row>
    <row r="71" spans="1:3" x14ac:dyDescent="0.4">
      <c r="A71">
        <v>70</v>
      </c>
      <c r="B71">
        <v>413</v>
      </c>
      <c r="C71">
        <f t="shared" si="2"/>
        <v>426</v>
      </c>
    </row>
    <row r="72" spans="1:3" x14ac:dyDescent="0.4">
      <c r="A72">
        <v>71</v>
      </c>
      <c r="B72">
        <v>434</v>
      </c>
      <c r="C72">
        <f t="shared" si="2"/>
        <v>445.25</v>
      </c>
    </row>
    <row r="73" spans="1:3" x14ac:dyDescent="0.4">
      <c r="A73">
        <v>72</v>
      </c>
      <c r="B73">
        <v>456</v>
      </c>
      <c r="C73">
        <f t="shared" si="2"/>
        <v>465</v>
      </c>
    </row>
    <row r="74" spans="1:3" x14ac:dyDescent="0.4">
      <c r="A74">
        <v>73</v>
      </c>
      <c r="B74">
        <v>480</v>
      </c>
      <c r="C74">
        <f t="shared" si="2"/>
        <v>485.25</v>
      </c>
    </row>
    <row r="75" spans="1:3" x14ac:dyDescent="0.4">
      <c r="A75">
        <v>74</v>
      </c>
      <c r="B75">
        <v>504</v>
      </c>
      <c r="C75">
        <f t="shared" si="2"/>
        <v>506</v>
      </c>
    </row>
    <row r="76" spans="1:3" x14ac:dyDescent="0.4">
      <c r="A76">
        <v>75</v>
      </c>
      <c r="B76">
        <v>530</v>
      </c>
      <c r="C76">
        <f t="shared" si="2"/>
        <v>527.25</v>
      </c>
    </row>
    <row r="77" spans="1:3" x14ac:dyDescent="0.4">
      <c r="A77">
        <v>76</v>
      </c>
      <c r="B77">
        <v>556</v>
      </c>
      <c r="C77">
        <f t="shared" si="2"/>
        <v>549</v>
      </c>
    </row>
    <row r="78" spans="1:3" x14ac:dyDescent="0.4">
      <c r="A78">
        <v>77</v>
      </c>
      <c r="B78">
        <v>584</v>
      </c>
      <c r="C78">
        <f t="shared" si="2"/>
        <v>571.25</v>
      </c>
    </row>
    <row r="79" spans="1:3" x14ac:dyDescent="0.4">
      <c r="A79">
        <v>78</v>
      </c>
      <c r="B79">
        <v>614</v>
      </c>
      <c r="C79">
        <f t="shared" si="2"/>
        <v>594</v>
      </c>
    </row>
    <row r="80" spans="1:3" x14ac:dyDescent="0.4">
      <c r="A80">
        <v>79</v>
      </c>
      <c r="B80">
        <v>645</v>
      </c>
      <c r="C80">
        <f t="shared" si="2"/>
        <v>617.25</v>
      </c>
    </row>
    <row r="81" spans="1:3" x14ac:dyDescent="0.4">
      <c r="A81">
        <v>80</v>
      </c>
      <c r="B81">
        <v>677</v>
      </c>
      <c r="C81">
        <f t="shared" si="2"/>
        <v>641</v>
      </c>
    </row>
    <row r="82" spans="1:3" x14ac:dyDescent="0.4">
      <c r="A82">
        <v>81</v>
      </c>
      <c r="B82">
        <v>711</v>
      </c>
      <c r="C82">
        <f t="shared" si="2"/>
        <v>665.25</v>
      </c>
    </row>
    <row r="83" spans="1:3" x14ac:dyDescent="0.4">
      <c r="A83">
        <v>82</v>
      </c>
      <c r="B83">
        <v>746</v>
      </c>
      <c r="C83">
        <f t="shared" si="2"/>
        <v>690</v>
      </c>
    </row>
    <row r="84" spans="1:3" x14ac:dyDescent="0.4">
      <c r="A84">
        <v>83</v>
      </c>
      <c r="B84">
        <v>783</v>
      </c>
      <c r="C84">
        <f t="shared" si="2"/>
        <v>715.25</v>
      </c>
    </row>
    <row r="85" spans="1:3" x14ac:dyDescent="0.4">
      <c r="A85">
        <v>84</v>
      </c>
      <c r="B85">
        <v>822</v>
      </c>
    </row>
    <row r="86" spans="1:3" x14ac:dyDescent="0.4">
      <c r="A86">
        <v>85</v>
      </c>
      <c r="B86">
        <v>862</v>
      </c>
    </row>
    <row r="87" spans="1:3" x14ac:dyDescent="0.4">
      <c r="A87">
        <v>86</v>
      </c>
      <c r="B87">
        <v>905</v>
      </c>
    </row>
    <row r="88" spans="1:3" x14ac:dyDescent="0.4">
      <c r="A88">
        <v>87</v>
      </c>
      <c r="B88">
        <v>949</v>
      </c>
    </row>
    <row r="89" spans="1:3" x14ac:dyDescent="0.4">
      <c r="A89">
        <v>88</v>
      </c>
      <c r="B89">
        <v>996</v>
      </c>
    </row>
    <row r="90" spans="1:3" x14ac:dyDescent="0.4">
      <c r="A90">
        <v>89</v>
      </c>
      <c r="B90">
        <v>1045</v>
      </c>
    </row>
    <row r="91" spans="1:3" x14ac:dyDescent="0.4">
      <c r="A91">
        <v>90</v>
      </c>
      <c r="B91">
        <v>1096</v>
      </c>
    </row>
    <row r="92" spans="1:3" x14ac:dyDescent="0.4">
      <c r="A92">
        <v>91</v>
      </c>
      <c r="B92">
        <v>1149</v>
      </c>
    </row>
    <row r="93" spans="1:3" x14ac:dyDescent="0.4">
      <c r="A93">
        <v>92</v>
      </c>
      <c r="B93">
        <v>1205</v>
      </c>
    </row>
    <row r="94" spans="1:3" x14ac:dyDescent="0.4">
      <c r="A94">
        <v>93</v>
      </c>
      <c r="B94">
        <v>1264</v>
      </c>
    </row>
    <row r="95" spans="1:3" x14ac:dyDescent="0.4">
      <c r="A95">
        <v>94</v>
      </c>
      <c r="B95">
        <v>1325</v>
      </c>
    </row>
    <row r="96" spans="1:3" x14ac:dyDescent="0.4">
      <c r="A96">
        <v>95</v>
      </c>
      <c r="B96">
        <v>1390</v>
      </c>
    </row>
    <row r="97" spans="1:2" x14ac:dyDescent="0.4">
      <c r="A97">
        <v>96</v>
      </c>
      <c r="B97">
        <v>1457</v>
      </c>
    </row>
    <row r="98" spans="1:2" x14ac:dyDescent="0.4">
      <c r="A98">
        <v>97</v>
      </c>
      <c r="B98">
        <v>1527</v>
      </c>
    </row>
    <row r="99" spans="1:2" x14ac:dyDescent="0.4">
      <c r="A99">
        <v>98</v>
      </c>
      <c r="B99">
        <v>1601</v>
      </c>
    </row>
    <row r="100" spans="1:2" x14ac:dyDescent="0.4">
      <c r="A100">
        <v>99</v>
      </c>
      <c r="B100">
        <v>1678</v>
      </c>
    </row>
    <row r="101" spans="1:2" x14ac:dyDescent="0.4">
      <c r="A101">
        <v>100</v>
      </c>
      <c r="B101">
        <v>1758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148C8-08DC-41B5-AB98-ABA239F1300D}">
  <sheetPr codeName="Sheet7"/>
  <dimension ref="A1:C85"/>
  <sheetViews>
    <sheetView topLeftCell="A46" zoomScaleNormal="100" workbookViewId="0">
      <selection activeCell="A84" sqref="A84:A85"/>
    </sheetView>
  </sheetViews>
  <sheetFormatPr defaultRowHeight="18.75" x14ac:dyDescent="0.4"/>
  <sheetData>
    <row r="1" spans="1:3" x14ac:dyDescent="0.4">
      <c r="A1" t="s">
        <v>6</v>
      </c>
      <c r="B1" t="s">
        <v>13</v>
      </c>
      <c r="C1" t="s">
        <v>8</v>
      </c>
    </row>
    <row r="2" spans="1:3" x14ac:dyDescent="0.4">
      <c r="A2">
        <v>1</v>
      </c>
      <c r="B2">
        <v>18</v>
      </c>
      <c r="C2">
        <f t="shared" ref="C2:C33" si="0">0.05*(A2+5)^2+18</f>
        <v>19.8</v>
      </c>
    </row>
    <row r="3" spans="1:3" x14ac:dyDescent="0.4">
      <c r="A3">
        <v>2</v>
      </c>
      <c r="B3">
        <v>19</v>
      </c>
      <c r="C3">
        <f t="shared" si="0"/>
        <v>20.45</v>
      </c>
    </row>
    <row r="4" spans="1:3" x14ac:dyDescent="0.4">
      <c r="A4">
        <v>3</v>
      </c>
      <c r="B4">
        <v>20</v>
      </c>
      <c r="C4">
        <f t="shared" si="0"/>
        <v>21.2</v>
      </c>
    </row>
    <row r="5" spans="1:3" x14ac:dyDescent="0.4">
      <c r="A5">
        <v>4</v>
      </c>
      <c r="B5">
        <v>21</v>
      </c>
      <c r="C5">
        <f t="shared" si="0"/>
        <v>22.05</v>
      </c>
    </row>
    <row r="6" spans="1:3" x14ac:dyDescent="0.4">
      <c r="A6">
        <v>5</v>
      </c>
      <c r="B6">
        <v>23</v>
      </c>
      <c r="C6">
        <f t="shared" si="0"/>
        <v>23</v>
      </c>
    </row>
    <row r="7" spans="1:3" x14ac:dyDescent="0.4">
      <c r="A7">
        <v>6</v>
      </c>
      <c r="B7">
        <v>24</v>
      </c>
      <c r="C7">
        <f t="shared" si="0"/>
        <v>24.05</v>
      </c>
    </row>
    <row r="8" spans="1:3" x14ac:dyDescent="0.4">
      <c r="A8">
        <v>7</v>
      </c>
      <c r="B8">
        <v>25</v>
      </c>
      <c r="C8">
        <f t="shared" si="0"/>
        <v>25.2</v>
      </c>
    </row>
    <row r="9" spans="1:3" x14ac:dyDescent="0.4">
      <c r="A9">
        <v>8</v>
      </c>
      <c r="B9">
        <v>27</v>
      </c>
      <c r="C9">
        <f t="shared" si="0"/>
        <v>26.450000000000003</v>
      </c>
    </row>
    <row r="10" spans="1:3" x14ac:dyDescent="0.4">
      <c r="A10">
        <v>9</v>
      </c>
      <c r="B10">
        <v>28</v>
      </c>
      <c r="C10">
        <f t="shared" si="0"/>
        <v>27.8</v>
      </c>
    </row>
    <row r="11" spans="1:3" x14ac:dyDescent="0.4">
      <c r="A11">
        <v>10</v>
      </c>
      <c r="B11">
        <v>30</v>
      </c>
      <c r="C11">
        <f t="shared" si="0"/>
        <v>29.25</v>
      </c>
    </row>
    <row r="12" spans="1:3" x14ac:dyDescent="0.4">
      <c r="A12">
        <v>11</v>
      </c>
      <c r="B12">
        <v>31</v>
      </c>
      <c r="C12">
        <f t="shared" si="0"/>
        <v>30.8</v>
      </c>
    </row>
    <row r="13" spans="1:3" x14ac:dyDescent="0.4">
      <c r="A13">
        <v>12</v>
      </c>
      <c r="B13">
        <v>33</v>
      </c>
      <c r="C13">
        <f t="shared" si="0"/>
        <v>32.450000000000003</v>
      </c>
    </row>
    <row r="14" spans="1:3" x14ac:dyDescent="0.4">
      <c r="A14">
        <v>13</v>
      </c>
      <c r="B14">
        <v>35</v>
      </c>
      <c r="C14">
        <f t="shared" si="0"/>
        <v>34.200000000000003</v>
      </c>
    </row>
    <row r="15" spans="1:3" x14ac:dyDescent="0.4">
      <c r="A15">
        <v>14</v>
      </c>
      <c r="B15">
        <v>36</v>
      </c>
      <c r="C15">
        <f t="shared" si="0"/>
        <v>36.049999999999997</v>
      </c>
    </row>
    <row r="16" spans="1:3" x14ac:dyDescent="0.4">
      <c r="A16">
        <v>15</v>
      </c>
      <c r="B16">
        <v>38</v>
      </c>
      <c r="C16">
        <f t="shared" si="0"/>
        <v>38</v>
      </c>
    </row>
    <row r="17" spans="1:3" x14ac:dyDescent="0.4">
      <c r="A17">
        <v>16</v>
      </c>
      <c r="B17">
        <v>40</v>
      </c>
      <c r="C17">
        <f t="shared" si="0"/>
        <v>40.049999999999997</v>
      </c>
    </row>
    <row r="18" spans="1:3" x14ac:dyDescent="0.4">
      <c r="A18">
        <v>17</v>
      </c>
      <c r="B18">
        <v>42</v>
      </c>
      <c r="C18">
        <f t="shared" si="0"/>
        <v>42.2</v>
      </c>
    </row>
    <row r="19" spans="1:3" x14ac:dyDescent="0.4">
      <c r="A19">
        <v>18</v>
      </c>
      <c r="B19">
        <v>44</v>
      </c>
      <c r="C19">
        <f t="shared" si="0"/>
        <v>44.45</v>
      </c>
    </row>
    <row r="20" spans="1:3" x14ac:dyDescent="0.4">
      <c r="A20">
        <v>19</v>
      </c>
      <c r="B20">
        <v>46</v>
      </c>
      <c r="C20">
        <f t="shared" si="0"/>
        <v>46.8</v>
      </c>
    </row>
    <row r="21" spans="1:3" x14ac:dyDescent="0.4">
      <c r="A21">
        <v>20</v>
      </c>
      <c r="B21">
        <v>48</v>
      </c>
      <c r="C21">
        <f t="shared" si="0"/>
        <v>49.25</v>
      </c>
    </row>
    <row r="22" spans="1:3" x14ac:dyDescent="0.4">
      <c r="A22">
        <v>21</v>
      </c>
      <c r="B22">
        <v>51</v>
      </c>
      <c r="C22">
        <f t="shared" si="0"/>
        <v>51.800000000000004</v>
      </c>
    </row>
    <row r="23" spans="1:3" x14ac:dyDescent="0.4">
      <c r="A23">
        <v>22</v>
      </c>
      <c r="B23">
        <v>54</v>
      </c>
      <c r="C23">
        <f t="shared" si="0"/>
        <v>54.45</v>
      </c>
    </row>
    <row r="24" spans="1:3" x14ac:dyDescent="0.4">
      <c r="A24">
        <v>23</v>
      </c>
      <c r="B24">
        <v>56</v>
      </c>
      <c r="C24">
        <f t="shared" si="0"/>
        <v>57.2</v>
      </c>
    </row>
    <row r="25" spans="1:3" x14ac:dyDescent="0.4">
      <c r="A25">
        <v>24</v>
      </c>
      <c r="B25">
        <v>59</v>
      </c>
      <c r="C25">
        <f t="shared" si="0"/>
        <v>60.050000000000004</v>
      </c>
    </row>
    <row r="26" spans="1:3" x14ac:dyDescent="0.4">
      <c r="A26">
        <v>25</v>
      </c>
      <c r="B26">
        <v>62</v>
      </c>
      <c r="C26">
        <f t="shared" si="0"/>
        <v>63</v>
      </c>
    </row>
    <row r="27" spans="1:3" x14ac:dyDescent="0.4">
      <c r="A27">
        <v>26</v>
      </c>
      <c r="B27">
        <v>65</v>
      </c>
      <c r="C27">
        <f t="shared" si="0"/>
        <v>66.050000000000011</v>
      </c>
    </row>
    <row r="28" spans="1:3" x14ac:dyDescent="0.4">
      <c r="A28">
        <v>27</v>
      </c>
      <c r="B28">
        <v>68</v>
      </c>
      <c r="C28">
        <f t="shared" si="0"/>
        <v>69.2</v>
      </c>
    </row>
    <row r="29" spans="1:3" x14ac:dyDescent="0.4">
      <c r="A29">
        <v>28</v>
      </c>
      <c r="B29">
        <v>71</v>
      </c>
      <c r="C29">
        <f t="shared" si="0"/>
        <v>72.45</v>
      </c>
    </row>
    <row r="30" spans="1:3" x14ac:dyDescent="0.4">
      <c r="A30">
        <v>29</v>
      </c>
      <c r="B30">
        <v>74</v>
      </c>
      <c r="C30">
        <f t="shared" si="0"/>
        <v>75.800000000000011</v>
      </c>
    </row>
    <row r="31" spans="1:3" x14ac:dyDescent="0.4">
      <c r="A31">
        <v>30</v>
      </c>
      <c r="B31">
        <v>78</v>
      </c>
      <c r="C31">
        <f t="shared" si="0"/>
        <v>79.25</v>
      </c>
    </row>
    <row r="32" spans="1:3" x14ac:dyDescent="0.4">
      <c r="A32">
        <v>31</v>
      </c>
      <c r="B32">
        <v>81</v>
      </c>
      <c r="C32">
        <f t="shared" si="0"/>
        <v>82.8</v>
      </c>
    </row>
    <row r="33" spans="1:3" x14ac:dyDescent="0.4">
      <c r="A33">
        <v>32</v>
      </c>
      <c r="B33">
        <v>85</v>
      </c>
      <c r="C33">
        <f t="shared" si="0"/>
        <v>86.45</v>
      </c>
    </row>
    <row r="34" spans="1:3" x14ac:dyDescent="0.4">
      <c r="A34">
        <v>33</v>
      </c>
      <c r="B34">
        <v>89</v>
      </c>
      <c r="C34">
        <f t="shared" ref="C34:C38" si="1">0.05*(A34+5)^2+18</f>
        <v>90.2</v>
      </c>
    </row>
    <row r="35" spans="1:3" x14ac:dyDescent="0.4">
      <c r="A35">
        <v>34</v>
      </c>
      <c r="B35">
        <v>93</v>
      </c>
      <c r="C35">
        <f t="shared" si="1"/>
        <v>94.05</v>
      </c>
    </row>
    <row r="36" spans="1:3" x14ac:dyDescent="0.4">
      <c r="A36">
        <v>35</v>
      </c>
      <c r="B36">
        <v>97</v>
      </c>
      <c r="C36">
        <f t="shared" si="1"/>
        <v>98</v>
      </c>
    </row>
    <row r="37" spans="1:3" x14ac:dyDescent="0.4">
      <c r="A37">
        <v>36</v>
      </c>
      <c r="B37">
        <v>101</v>
      </c>
      <c r="C37">
        <f t="shared" si="1"/>
        <v>102.05000000000001</v>
      </c>
    </row>
    <row r="38" spans="1:3" x14ac:dyDescent="0.4">
      <c r="A38">
        <v>37</v>
      </c>
      <c r="B38">
        <v>106</v>
      </c>
      <c r="C38">
        <f t="shared" si="1"/>
        <v>106.2</v>
      </c>
    </row>
    <row r="39" spans="1:3" x14ac:dyDescent="0.4">
      <c r="A39">
        <v>38</v>
      </c>
      <c r="B39">
        <v>111</v>
      </c>
      <c r="C39">
        <f t="shared" ref="C39:C85" si="2">0.2*(A39-30)^2+100</f>
        <v>112.8</v>
      </c>
    </row>
    <row r="40" spans="1:3" x14ac:dyDescent="0.4">
      <c r="A40">
        <v>39</v>
      </c>
      <c r="B40">
        <v>116</v>
      </c>
      <c r="C40">
        <f t="shared" si="2"/>
        <v>116.2</v>
      </c>
    </row>
    <row r="41" spans="1:3" x14ac:dyDescent="0.4">
      <c r="A41">
        <v>40</v>
      </c>
      <c r="B41">
        <v>121</v>
      </c>
      <c r="C41">
        <f t="shared" si="2"/>
        <v>120</v>
      </c>
    </row>
    <row r="42" spans="1:3" x14ac:dyDescent="0.4">
      <c r="A42">
        <v>41</v>
      </c>
      <c r="B42">
        <v>126</v>
      </c>
      <c r="C42">
        <f t="shared" si="2"/>
        <v>124.2</v>
      </c>
    </row>
    <row r="43" spans="1:3" x14ac:dyDescent="0.4">
      <c r="A43">
        <v>42</v>
      </c>
      <c r="B43">
        <v>132</v>
      </c>
      <c r="C43">
        <f t="shared" si="2"/>
        <v>128.80000000000001</v>
      </c>
    </row>
    <row r="44" spans="1:3" x14ac:dyDescent="0.4">
      <c r="A44">
        <v>43</v>
      </c>
      <c r="B44">
        <v>137</v>
      </c>
      <c r="C44">
        <f t="shared" si="2"/>
        <v>133.80000000000001</v>
      </c>
    </row>
    <row r="45" spans="1:3" x14ac:dyDescent="0.4">
      <c r="A45">
        <v>44</v>
      </c>
      <c r="B45">
        <v>143</v>
      </c>
      <c r="C45">
        <f t="shared" si="2"/>
        <v>139.19999999999999</v>
      </c>
    </row>
    <row r="46" spans="1:3" x14ac:dyDescent="0.4">
      <c r="A46">
        <v>45</v>
      </c>
      <c r="B46">
        <v>149</v>
      </c>
      <c r="C46">
        <f t="shared" si="2"/>
        <v>145</v>
      </c>
    </row>
    <row r="47" spans="1:3" x14ac:dyDescent="0.4">
      <c r="A47">
        <v>46</v>
      </c>
      <c r="B47">
        <v>156</v>
      </c>
      <c r="C47">
        <f t="shared" si="2"/>
        <v>151.19999999999999</v>
      </c>
    </row>
    <row r="48" spans="1:3" x14ac:dyDescent="0.4">
      <c r="A48">
        <v>47</v>
      </c>
      <c r="B48">
        <v>162</v>
      </c>
      <c r="C48">
        <f t="shared" si="2"/>
        <v>157.80000000000001</v>
      </c>
    </row>
    <row r="49" spans="1:3" x14ac:dyDescent="0.4">
      <c r="A49">
        <v>48</v>
      </c>
      <c r="B49">
        <v>169</v>
      </c>
      <c r="C49">
        <f t="shared" si="2"/>
        <v>164.8</v>
      </c>
    </row>
    <row r="50" spans="1:3" x14ac:dyDescent="0.4">
      <c r="A50">
        <v>49</v>
      </c>
      <c r="B50">
        <v>177</v>
      </c>
      <c r="C50">
        <f t="shared" si="2"/>
        <v>172.2</v>
      </c>
    </row>
    <row r="51" spans="1:3" x14ac:dyDescent="0.4">
      <c r="A51">
        <v>50</v>
      </c>
      <c r="B51">
        <v>184</v>
      </c>
      <c r="C51">
        <f t="shared" si="2"/>
        <v>180</v>
      </c>
    </row>
    <row r="52" spans="1:3" x14ac:dyDescent="0.4">
      <c r="A52">
        <v>51</v>
      </c>
      <c r="B52">
        <v>192</v>
      </c>
      <c r="C52">
        <f t="shared" si="2"/>
        <v>188.2</v>
      </c>
    </row>
    <row r="53" spans="1:3" x14ac:dyDescent="0.4">
      <c r="A53">
        <v>52</v>
      </c>
      <c r="B53">
        <v>200</v>
      </c>
      <c r="C53">
        <f t="shared" si="2"/>
        <v>196.8</v>
      </c>
    </row>
    <row r="54" spans="1:3" x14ac:dyDescent="0.4">
      <c r="A54">
        <v>53</v>
      </c>
      <c r="B54">
        <v>208</v>
      </c>
      <c r="C54">
        <f t="shared" si="2"/>
        <v>205.8</v>
      </c>
    </row>
    <row r="55" spans="1:3" x14ac:dyDescent="0.4">
      <c r="A55">
        <v>54</v>
      </c>
      <c r="B55">
        <v>217</v>
      </c>
      <c r="C55">
        <f t="shared" si="2"/>
        <v>215.2</v>
      </c>
    </row>
    <row r="56" spans="1:3" x14ac:dyDescent="0.4">
      <c r="A56">
        <v>55</v>
      </c>
      <c r="B56">
        <v>226</v>
      </c>
      <c r="C56">
        <f t="shared" si="2"/>
        <v>225</v>
      </c>
    </row>
    <row r="57" spans="1:3" x14ac:dyDescent="0.4">
      <c r="A57">
        <v>56</v>
      </c>
      <c r="B57">
        <v>236</v>
      </c>
      <c r="C57">
        <f t="shared" si="2"/>
        <v>235.20000000000002</v>
      </c>
    </row>
    <row r="58" spans="1:3" x14ac:dyDescent="0.4">
      <c r="A58">
        <v>57</v>
      </c>
      <c r="B58">
        <v>245</v>
      </c>
      <c r="C58">
        <f t="shared" si="2"/>
        <v>245.8</v>
      </c>
    </row>
    <row r="59" spans="1:3" x14ac:dyDescent="0.4">
      <c r="A59">
        <v>58</v>
      </c>
      <c r="B59">
        <v>256</v>
      </c>
      <c r="C59">
        <f t="shared" si="2"/>
        <v>256.8</v>
      </c>
    </row>
    <row r="60" spans="1:3" x14ac:dyDescent="0.4">
      <c r="A60">
        <v>59</v>
      </c>
      <c r="B60">
        <v>266</v>
      </c>
      <c r="C60">
        <f t="shared" si="2"/>
        <v>268.20000000000005</v>
      </c>
    </row>
    <row r="61" spans="1:3" x14ac:dyDescent="0.4">
      <c r="A61">
        <v>60</v>
      </c>
      <c r="B61">
        <v>277</v>
      </c>
      <c r="C61">
        <f t="shared" si="2"/>
        <v>280</v>
      </c>
    </row>
    <row r="62" spans="1:3" x14ac:dyDescent="0.4">
      <c r="A62">
        <v>61</v>
      </c>
      <c r="B62">
        <v>288</v>
      </c>
      <c r="C62">
        <f t="shared" si="2"/>
        <v>292.20000000000005</v>
      </c>
    </row>
    <row r="63" spans="1:3" x14ac:dyDescent="0.4">
      <c r="A63">
        <v>62</v>
      </c>
      <c r="B63">
        <v>300</v>
      </c>
      <c r="C63">
        <f t="shared" si="2"/>
        <v>304.8</v>
      </c>
    </row>
    <row r="64" spans="1:3" x14ac:dyDescent="0.4">
      <c r="A64">
        <v>63</v>
      </c>
      <c r="B64">
        <v>312</v>
      </c>
      <c r="C64">
        <f t="shared" si="2"/>
        <v>317.8</v>
      </c>
    </row>
    <row r="65" spans="1:3" x14ac:dyDescent="0.4">
      <c r="A65">
        <v>64</v>
      </c>
      <c r="B65">
        <v>325</v>
      </c>
      <c r="C65">
        <f t="shared" si="2"/>
        <v>331.20000000000005</v>
      </c>
    </row>
    <row r="66" spans="1:3" x14ac:dyDescent="0.4">
      <c r="A66">
        <v>65</v>
      </c>
      <c r="B66">
        <v>338</v>
      </c>
      <c r="C66">
        <f t="shared" si="2"/>
        <v>345</v>
      </c>
    </row>
    <row r="67" spans="1:3" x14ac:dyDescent="0.4">
      <c r="A67">
        <v>66</v>
      </c>
      <c r="B67">
        <v>352</v>
      </c>
      <c r="C67">
        <f t="shared" si="2"/>
        <v>359.2</v>
      </c>
    </row>
    <row r="68" spans="1:3" x14ac:dyDescent="0.4">
      <c r="A68">
        <v>67</v>
      </c>
      <c r="B68">
        <v>366</v>
      </c>
      <c r="C68">
        <f t="shared" si="2"/>
        <v>373.8</v>
      </c>
    </row>
    <row r="69" spans="1:3" x14ac:dyDescent="0.4">
      <c r="A69">
        <v>68</v>
      </c>
      <c r="B69">
        <v>381</v>
      </c>
      <c r="C69">
        <f t="shared" si="2"/>
        <v>388.8</v>
      </c>
    </row>
    <row r="70" spans="1:3" x14ac:dyDescent="0.4">
      <c r="A70">
        <v>69</v>
      </c>
      <c r="B70">
        <v>396</v>
      </c>
      <c r="C70">
        <f t="shared" si="2"/>
        <v>404.2</v>
      </c>
    </row>
    <row r="71" spans="1:3" x14ac:dyDescent="0.4">
      <c r="A71">
        <v>70</v>
      </c>
      <c r="B71">
        <v>412</v>
      </c>
      <c r="C71">
        <f t="shared" si="2"/>
        <v>420</v>
      </c>
    </row>
    <row r="72" spans="1:3" x14ac:dyDescent="0.4">
      <c r="A72">
        <v>71</v>
      </c>
      <c r="B72">
        <v>428</v>
      </c>
      <c r="C72">
        <f t="shared" si="2"/>
        <v>436.20000000000005</v>
      </c>
    </row>
    <row r="73" spans="1:3" x14ac:dyDescent="0.4">
      <c r="A73">
        <v>72</v>
      </c>
      <c r="B73">
        <v>445</v>
      </c>
      <c r="C73">
        <f t="shared" si="2"/>
        <v>452.8</v>
      </c>
    </row>
    <row r="74" spans="1:3" x14ac:dyDescent="0.4">
      <c r="A74">
        <v>73</v>
      </c>
      <c r="B74">
        <v>463</v>
      </c>
      <c r="C74">
        <f t="shared" si="2"/>
        <v>469.8</v>
      </c>
    </row>
    <row r="75" spans="1:3" x14ac:dyDescent="0.4">
      <c r="A75">
        <v>74</v>
      </c>
      <c r="B75">
        <v>481</v>
      </c>
      <c r="C75">
        <f t="shared" si="2"/>
        <v>487.20000000000005</v>
      </c>
    </row>
    <row r="76" spans="1:3" x14ac:dyDescent="0.4">
      <c r="A76">
        <v>75</v>
      </c>
      <c r="B76">
        <v>500</v>
      </c>
      <c r="C76">
        <f t="shared" si="2"/>
        <v>505</v>
      </c>
    </row>
    <row r="77" spans="1:3" x14ac:dyDescent="0.4">
      <c r="A77">
        <v>76</v>
      </c>
      <c r="B77">
        <v>520</v>
      </c>
      <c r="C77">
        <f t="shared" si="2"/>
        <v>523.20000000000005</v>
      </c>
    </row>
    <row r="78" spans="1:3" x14ac:dyDescent="0.4">
      <c r="A78">
        <v>77</v>
      </c>
      <c r="B78">
        <v>540</v>
      </c>
      <c r="C78">
        <f t="shared" si="2"/>
        <v>541.79999999999995</v>
      </c>
    </row>
    <row r="79" spans="1:3" x14ac:dyDescent="0.4">
      <c r="A79">
        <v>78</v>
      </c>
      <c r="B79">
        <v>562</v>
      </c>
      <c r="C79">
        <f t="shared" si="2"/>
        <v>560.79999999999995</v>
      </c>
    </row>
    <row r="80" spans="1:3" x14ac:dyDescent="0.4">
      <c r="A80">
        <v>79</v>
      </c>
      <c r="B80">
        <v>584</v>
      </c>
      <c r="C80">
        <f t="shared" si="2"/>
        <v>580.20000000000005</v>
      </c>
    </row>
    <row r="81" spans="1:3" x14ac:dyDescent="0.4">
      <c r="A81">
        <v>80</v>
      </c>
      <c r="C81">
        <f t="shared" si="2"/>
        <v>600</v>
      </c>
    </row>
    <row r="82" spans="1:3" x14ac:dyDescent="0.4">
      <c r="A82">
        <v>81</v>
      </c>
      <c r="C82">
        <f t="shared" si="2"/>
        <v>620.20000000000005</v>
      </c>
    </row>
    <row r="83" spans="1:3" x14ac:dyDescent="0.4">
      <c r="A83">
        <v>82</v>
      </c>
      <c r="C83">
        <f t="shared" si="2"/>
        <v>640.80000000000007</v>
      </c>
    </row>
    <row r="84" spans="1:3" x14ac:dyDescent="0.4">
      <c r="A84">
        <v>83</v>
      </c>
      <c r="C84">
        <f t="shared" si="2"/>
        <v>661.80000000000007</v>
      </c>
    </row>
    <row r="85" spans="1:3" x14ac:dyDescent="0.4">
      <c r="A85">
        <v>83</v>
      </c>
      <c r="C85">
        <f t="shared" si="2"/>
        <v>661.80000000000007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CCB89-BBF9-438E-BBB7-5BD36F787718}">
  <sheetPr codeName="Sheet8"/>
  <dimension ref="A1:E84"/>
  <sheetViews>
    <sheetView topLeftCell="A29" zoomScale="85" zoomScaleNormal="85" workbookViewId="0">
      <selection activeCell="D2" sqref="D2"/>
    </sheetView>
  </sheetViews>
  <sheetFormatPr defaultRowHeight="18.75" x14ac:dyDescent="0.4"/>
  <sheetData>
    <row r="1" spans="1:5" x14ac:dyDescent="0.4">
      <c r="A1" t="s">
        <v>6</v>
      </c>
      <c r="B1" t="s">
        <v>7</v>
      </c>
      <c r="C1" t="s">
        <v>8</v>
      </c>
    </row>
    <row r="2" spans="1:5" x14ac:dyDescent="0.4">
      <c r="A2">
        <v>1</v>
      </c>
      <c r="B2">
        <v>36</v>
      </c>
      <c r="C2">
        <f t="shared" ref="C2:C33" si="0">0.5*(A2)^2+40</f>
        <v>40.5</v>
      </c>
      <c r="D2" t="s">
        <v>9</v>
      </c>
      <c r="E2" t="s">
        <v>11</v>
      </c>
    </row>
    <row r="3" spans="1:5" x14ac:dyDescent="0.4">
      <c r="A3">
        <v>2</v>
      </c>
      <c r="B3">
        <v>42</v>
      </c>
      <c r="C3">
        <f t="shared" si="0"/>
        <v>42</v>
      </c>
      <c r="D3" t="s">
        <v>10</v>
      </c>
      <c r="E3" t="s">
        <v>12</v>
      </c>
    </row>
    <row r="4" spans="1:5" x14ac:dyDescent="0.4">
      <c r="A4">
        <v>3</v>
      </c>
      <c r="B4">
        <v>49</v>
      </c>
      <c r="C4">
        <f t="shared" si="0"/>
        <v>44.5</v>
      </c>
    </row>
    <row r="5" spans="1:5" x14ac:dyDescent="0.4">
      <c r="A5">
        <v>4</v>
      </c>
      <c r="B5">
        <v>56</v>
      </c>
      <c r="C5">
        <f t="shared" si="0"/>
        <v>48</v>
      </c>
    </row>
    <row r="6" spans="1:5" x14ac:dyDescent="0.4">
      <c r="A6">
        <v>5</v>
      </c>
      <c r="B6">
        <v>64</v>
      </c>
      <c r="C6">
        <f t="shared" si="0"/>
        <v>52.5</v>
      </c>
    </row>
    <row r="7" spans="1:5" x14ac:dyDescent="0.4">
      <c r="A7">
        <v>6</v>
      </c>
      <c r="B7">
        <v>72</v>
      </c>
      <c r="C7">
        <f t="shared" si="0"/>
        <v>58</v>
      </c>
    </row>
    <row r="8" spans="1:5" x14ac:dyDescent="0.4">
      <c r="A8">
        <v>7</v>
      </c>
      <c r="B8">
        <v>80</v>
      </c>
      <c r="C8">
        <f t="shared" si="0"/>
        <v>64.5</v>
      </c>
    </row>
    <row r="9" spans="1:5" x14ac:dyDescent="0.4">
      <c r="A9">
        <v>8</v>
      </c>
      <c r="B9">
        <v>89</v>
      </c>
      <c r="C9">
        <f t="shared" si="0"/>
        <v>72</v>
      </c>
    </row>
    <row r="10" spans="1:5" x14ac:dyDescent="0.4">
      <c r="A10">
        <v>9</v>
      </c>
      <c r="B10">
        <v>98</v>
      </c>
      <c r="C10">
        <f t="shared" si="0"/>
        <v>80.5</v>
      </c>
    </row>
    <row r="11" spans="1:5" x14ac:dyDescent="0.4">
      <c r="A11">
        <v>10</v>
      </c>
      <c r="B11">
        <v>108</v>
      </c>
      <c r="C11">
        <f t="shared" si="0"/>
        <v>90</v>
      </c>
    </row>
    <row r="12" spans="1:5" x14ac:dyDescent="0.4">
      <c r="A12">
        <v>11</v>
      </c>
      <c r="B12">
        <v>118</v>
      </c>
      <c r="C12">
        <f t="shared" si="0"/>
        <v>100.5</v>
      </c>
    </row>
    <row r="13" spans="1:5" x14ac:dyDescent="0.4">
      <c r="A13">
        <v>12</v>
      </c>
      <c r="B13">
        <v>128</v>
      </c>
      <c r="C13">
        <f t="shared" si="0"/>
        <v>112</v>
      </c>
    </row>
    <row r="14" spans="1:5" x14ac:dyDescent="0.4">
      <c r="A14">
        <v>13</v>
      </c>
      <c r="B14">
        <v>140</v>
      </c>
      <c r="C14">
        <f t="shared" si="0"/>
        <v>124.5</v>
      </c>
    </row>
    <row r="15" spans="1:5" x14ac:dyDescent="0.4">
      <c r="A15">
        <v>14</v>
      </c>
      <c r="B15">
        <v>151</v>
      </c>
      <c r="C15">
        <f t="shared" si="0"/>
        <v>138</v>
      </c>
    </row>
    <row r="16" spans="1:5" x14ac:dyDescent="0.4">
      <c r="A16">
        <v>15</v>
      </c>
      <c r="B16">
        <v>164</v>
      </c>
      <c r="C16">
        <f t="shared" si="0"/>
        <v>152.5</v>
      </c>
    </row>
    <row r="17" spans="1:3" x14ac:dyDescent="0.4">
      <c r="A17">
        <v>16</v>
      </c>
      <c r="B17">
        <v>177</v>
      </c>
      <c r="C17">
        <f t="shared" si="0"/>
        <v>168</v>
      </c>
    </row>
    <row r="18" spans="1:3" x14ac:dyDescent="0.4">
      <c r="A18">
        <v>17</v>
      </c>
      <c r="B18">
        <v>190</v>
      </c>
      <c r="C18">
        <f t="shared" si="0"/>
        <v>184.5</v>
      </c>
    </row>
    <row r="19" spans="1:3" x14ac:dyDescent="0.4">
      <c r="A19">
        <v>18</v>
      </c>
      <c r="B19">
        <v>204</v>
      </c>
      <c r="C19">
        <f t="shared" si="0"/>
        <v>202</v>
      </c>
    </row>
    <row r="20" spans="1:3" x14ac:dyDescent="0.4">
      <c r="A20">
        <v>19</v>
      </c>
      <c r="B20">
        <v>219</v>
      </c>
      <c r="C20">
        <f t="shared" si="0"/>
        <v>220.5</v>
      </c>
    </row>
    <row r="21" spans="1:3" x14ac:dyDescent="0.4">
      <c r="A21">
        <v>20</v>
      </c>
      <c r="B21">
        <v>235</v>
      </c>
      <c r="C21">
        <f t="shared" si="0"/>
        <v>240</v>
      </c>
    </row>
    <row r="22" spans="1:3" x14ac:dyDescent="0.4">
      <c r="A22">
        <v>21</v>
      </c>
      <c r="B22">
        <v>251</v>
      </c>
      <c r="C22">
        <f t="shared" si="0"/>
        <v>260.5</v>
      </c>
    </row>
    <row r="23" spans="1:3" x14ac:dyDescent="0.4">
      <c r="A23">
        <v>22</v>
      </c>
      <c r="B23">
        <v>268</v>
      </c>
      <c r="C23">
        <f t="shared" si="0"/>
        <v>282</v>
      </c>
    </row>
    <row r="24" spans="1:3" x14ac:dyDescent="0.4">
      <c r="A24">
        <v>23</v>
      </c>
      <c r="B24">
        <v>286</v>
      </c>
      <c r="C24">
        <f t="shared" si="0"/>
        <v>304.5</v>
      </c>
    </row>
    <row r="25" spans="1:3" x14ac:dyDescent="0.4">
      <c r="A25">
        <v>24</v>
      </c>
      <c r="B25">
        <v>305</v>
      </c>
      <c r="C25">
        <f t="shared" si="0"/>
        <v>328</v>
      </c>
    </row>
    <row r="26" spans="1:3" x14ac:dyDescent="0.4">
      <c r="A26">
        <v>25</v>
      </c>
      <c r="B26">
        <v>325</v>
      </c>
      <c r="C26">
        <f t="shared" si="0"/>
        <v>352.5</v>
      </c>
    </row>
    <row r="27" spans="1:3" x14ac:dyDescent="0.4">
      <c r="A27">
        <v>26</v>
      </c>
      <c r="B27">
        <v>345</v>
      </c>
      <c r="C27">
        <f t="shared" si="0"/>
        <v>378</v>
      </c>
    </row>
    <row r="28" spans="1:3" x14ac:dyDescent="0.4">
      <c r="A28">
        <v>27</v>
      </c>
      <c r="B28">
        <v>367</v>
      </c>
      <c r="C28">
        <f t="shared" si="0"/>
        <v>404.5</v>
      </c>
    </row>
    <row r="29" spans="1:3" x14ac:dyDescent="0.4">
      <c r="A29">
        <v>28</v>
      </c>
      <c r="B29">
        <v>389</v>
      </c>
      <c r="C29">
        <f t="shared" si="0"/>
        <v>432</v>
      </c>
    </row>
    <row r="30" spans="1:3" x14ac:dyDescent="0.4">
      <c r="A30">
        <v>29</v>
      </c>
      <c r="B30">
        <v>412</v>
      </c>
      <c r="C30">
        <f t="shared" si="0"/>
        <v>460.5</v>
      </c>
    </row>
    <row r="31" spans="1:3" x14ac:dyDescent="0.4">
      <c r="A31">
        <v>30</v>
      </c>
      <c r="B31">
        <v>437</v>
      </c>
      <c r="C31">
        <f t="shared" si="0"/>
        <v>490</v>
      </c>
    </row>
    <row r="32" spans="1:3" x14ac:dyDescent="0.4">
      <c r="A32">
        <v>31</v>
      </c>
      <c r="B32">
        <v>463</v>
      </c>
      <c r="C32">
        <f t="shared" si="0"/>
        <v>520.5</v>
      </c>
    </row>
    <row r="33" spans="1:3" x14ac:dyDescent="0.4">
      <c r="A33">
        <v>32</v>
      </c>
      <c r="B33">
        <v>489</v>
      </c>
      <c r="C33">
        <f t="shared" si="0"/>
        <v>552</v>
      </c>
    </row>
    <row r="34" spans="1:3" x14ac:dyDescent="0.4">
      <c r="A34">
        <v>33</v>
      </c>
      <c r="B34">
        <v>517</v>
      </c>
      <c r="C34">
        <f t="shared" ref="C34:C55" si="1">0.5*(A34)^2+40</f>
        <v>584.5</v>
      </c>
    </row>
    <row r="35" spans="1:3" x14ac:dyDescent="0.4">
      <c r="A35">
        <v>34</v>
      </c>
      <c r="B35">
        <v>546</v>
      </c>
      <c r="C35">
        <f t="shared" si="1"/>
        <v>618</v>
      </c>
    </row>
    <row r="36" spans="1:3" x14ac:dyDescent="0.4">
      <c r="A36">
        <v>35</v>
      </c>
      <c r="B36">
        <v>577</v>
      </c>
      <c r="C36">
        <f t="shared" si="1"/>
        <v>652.5</v>
      </c>
    </row>
    <row r="37" spans="1:3" x14ac:dyDescent="0.4">
      <c r="A37">
        <v>36</v>
      </c>
      <c r="B37">
        <v>609</v>
      </c>
      <c r="C37">
        <f t="shared" si="1"/>
        <v>688</v>
      </c>
    </row>
    <row r="38" spans="1:3" x14ac:dyDescent="0.4">
      <c r="A38">
        <v>37</v>
      </c>
      <c r="B38">
        <v>642</v>
      </c>
      <c r="C38">
        <f t="shared" si="1"/>
        <v>724.5</v>
      </c>
    </row>
    <row r="39" spans="1:3" x14ac:dyDescent="0.4">
      <c r="A39">
        <v>38</v>
      </c>
      <c r="B39">
        <v>676</v>
      </c>
      <c r="C39">
        <f t="shared" si="1"/>
        <v>762</v>
      </c>
    </row>
    <row r="40" spans="1:3" x14ac:dyDescent="0.4">
      <c r="A40">
        <v>39</v>
      </c>
      <c r="B40">
        <v>713</v>
      </c>
      <c r="C40">
        <f t="shared" si="1"/>
        <v>800.5</v>
      </c>
    </row>
    <row r="41" spans="1:3" x14ac:dyDescent="0.4">
      <c r="A41">
        <v>40</v>
      </c>
      <c r="B41">
        <v>750</v>
      </c>
      <c r="C41">
        <f t="shared" si="1"/>
        <v>840</v>
      </c>
    </row>
    <row r="42" spans="1:3" x14ac:dyDescent="0.4">
      <c r="A42">
        <v>41</v>
      </c>
      <c r="B42">
        <v>790</v>
      </c>
      <c r="C42">
        <f t="shared" si="1"/>
        <v>880.5</v>
      </c>
    </row>
    <row r="43" spans="1:3" x14ac:dyDescent="0.4">
      <c r="A43">
        <v>42</v>
      </c>
      <c r="B43">
        <v>831</v>
      </c>
      <c r="C43">
        <f t="shared" si="1"/>
        <v>922</v>
      </c>
    </row>
    <row r="44" spans="1:3" x14ac:dyDescent="0.4">
      <c r="A44">
        <v>43</v>
      </c>
      <c r="B44">
        <v>873</v>
      </c>
      <c r="C44">
        <f t="shared" si="1"/>
        <v>964.5</v>
      </c>
    </row>
    <row r="45" spans="1:3" x14ac:dyDescent="0.4">
      <c r="A45">
        <v>44</v>
      </c>
      <c r="B45">
        <v>918</v>
      </c>
      <c r="C45">
        <f t="shared" si="1"/>
        <v>1008</v>
      </c>
    </row>
    <row r="46" spans="1:3" x14ac:dyDescent="0.4">
      <c r="A46">
        <v>45</v>
      </c>
      <c r="B46">
        <v>964</v>
      </c>
      <c r="C46">
        <f t="shared" si="1"/>
        <v>1052.5</v>
      </c>
    </row>
    <row r="47" spans="1:3" x14ac:dyDescent="0.4">
      <c r="A47">
        <v>46</v>
      </c>
      <c r="B47">
        <v>1013</v>
      </c>
      <c r="C47">
        <f t="shared" si="1"/>
        <v>1098</v>
      </c>
    </row>
    <row r="48" spans="1:3" x14ac:dyDescent="0.4">
      <c r="A48">
        <v>47</v>
      </c>
      <c r="B48">
        <v>1063</v>
      </c>
      <c r="C48">
        <f t="shared" si="1"/>
        <v>1144.5</v>
      </c>
    </row>
    <row r="49" spans="1:3" x14ac:dyDescent="0.4">
      <c r="A49">
        <v>48</v>
      </c>
      <c r="B49">
        <v>1116</v>
      </c>
      <c r="C49">
        <f t="shared" si="1"/>
        <v>1192</v>
      </c>
    </row>
    <row r="50" spans="1:3" x14ac:dyDescent="0.4">
      <c r="A50">
        <v>49</v>
      </c>
      <c r="B50">
        <v>1170</v>
      </c>
      <c r="C50">
        <f t="shared" si="1"/>
        <v>1240.5</v>
      </c>
    </row>
    <row r="51" spans="1:3" x14ac:dyDescent="0.4">
      <c r="A51">
        <v>50</v>
      </c>
      <c r="B51">
        <v>1227</v>
      </c>
      <c r="C51">
        <f t="shared" si="1"/>
        <v>1290</v>
      </c>
    </row>
    <row r="52" spans="1:3" x14ac:dyDescent="0.4">
      <c r="A52">
        <v>51</v>
      </c>
      <c r="B52">
        <v>1297</v>
      </c>
      <c r="C52">
        <f t="shared" si="1"/>
        <v>1340.5</v>
      </c>
    </row>
    <row r="53" spans="1:3" x14ac:dyDescent="0.4">
      <c r="A53">
        <v>52</v>
      </c>
      <c r="B53">
        <v>1349</v>
      </c>
      <c r="C53">
        <f t="shared" si="1"/>
        <v>1392</v>
      </c>
    </row>
    <row r="54" spans="1:3" x14ac:dyDescent="0.4">
      <c r="A54">
        <v>53</v>
      </c>
      <c r="B54">
        <v>1413</v>
      </c>
      <c r="C54">
        <f t="shared" si="1"/>
        <v>1444.5</v>
      </c>
    </row>
    <row r="55" spans="1:3" x14ac:dyDescent="0.4">
      <c r="A55">
        <v>54</v>
      </c>
      <c r="B55">
        <v>1480</v>
      </c>
      <c r="C55">
        <f t="shared" si="1"/>
        <v>1498</v>
      </c>
    </row>
    <row r="56" spans="1:3" x14ac:dyDescent="0.4">
      <c r="A56">
        <v>55</v>
      </c>
      <c r="B56">
        <v>1550</v>
      </c>
      <c r="C56">
        <f t="shared" ref="C56:C84" si="2">1*(A56-10)^2-450</f>
        <v>1575</v>
      </c>
    </row>
    <row r="57" spans="1:3" x14ac:dyDescent="0.4">
      <c r="A57">
        <v>56</v>
      </c>
      <c r="B57">
        <v>1623</v>
      </c>
      <c r="C57">
        <f t="shared" si="2"/>
        <v>1666</v>
      </c>
    </row>
    <row r="58" spans="1:3" x14ac:dyDescent="0.4">
      <c r="A58">
        <v>57</v>
      </c>
      <c r="B58">
        <v>1698</v>
      </c>
      <c r="C58">
        <f t="shared" si="2"/>
        <v>1759</v>
      </c>
    </row>
    <row r="59" spans="1:3" x14ac:dyDescent="0.4">
      <c r="A59">
        <v>58</v>
      </c>
      <c r="B59">
        <v>1777</v>
      </c>
      <c r="C59">
        <f t="shared" si="2"/>
        <v>1854</v>
      </c>
    </row>
    <row r="60" spans="1:3" x14ac:dyDescent="0.4">
      <c r="A60">
        <v>59</v>
      </c>
      <c r="B60">
        <v>1859</v>
      </c>
      <c r="C60">
        <f t="shared" si="2"/>
        <v>1951</v>
      </c>
    </row>
    <row r="61" spans="1:3" x14ac:dyDescent="0.4">
      <c r="A61">
        <v>60</v>
      </c>
      <c r="B61">
        <v>1944</v>
      </c>
      <c r="C61">
        <f t="shared" si="2"/>
        <v>2050</v>
      </c>
    </row>
    <row r="62" spans="1:3" x14ac:dyDescent="0.4">
      <c r="A62">
        <v>61</v>
      </c>
      <c r="B62">
        <v>2033</v>
      </c>
      <c r="C62">
        <f t="shared" si="2"/>
        <v>2151</v>
      </c>
    </row>
    <row r="63" spans="1:3" x14ac:dyDescent="0.4">
      <c r="A63">
        <v>62</v>
      </c>
      <c r="B63">
        <v>2125</v>
      </c>
      <c r="C63">
        <f t="shared" si="2"/>
        <v>2254</v>
      </c>
    </row>
    <row r="64" spans="1:3" x14ac:dyDescent="0.4">
      <c r="A64">
        <v>63</v>
      </c>
      <c r="B64">
        <v>2221</v>
      </c>
      <c r="C64">
        <f t="shared" si="2"/>
        <v>2359</v>
      </c>
    </row>
    <row r="65" spans="1:3" x14ac:dyDescent="0.4">
      <c r="A65">
        <v>64</v>
      </c>
      <c r="B65">
        <v>2321</v>
      </c>
      <c r="C65">
        <f t="shared" si="2"/>
        <v>2466</v>
      </c>
    </row>
    <row r="66" spans="1:3" x14ac:dyDescent="0.4">
      <c r="A66">
        <v>65</v>
      </c>
      <c r="B66">
        <v>2425</v>
      </c>
      <c r="C66">
        <f t="shared" si="2"/>
        <v>2575</v>
      </c>
    </row>
    <row r="67" spans="1:3" x14ac:dyDescent="0.4">
      <c r="A67">
        <v>66</v>
      </c>
      <c r="B67">
        <v>2533</v>
      </c>
      <c r="C67">
        <f t="shared" si="2"/>
        <v>2686</v>
      </c>
    </row>
    <row r="68" spans="1:3" x14ac:dyDescent="0.4">
      <c r="A68">
        <v>67</v>
      </c>
      <c r="B68">
        <v>2645</v>
      </c>
      <c r="C68">
        <f t="shared" si="2"/>
        <v>2799</v>
      </c>
    </row>
    <row r="69" spans="1:3" x14ac:dyDescent="0.4">
      <c r="A69">
        <v>68</v>
      </c>
      <c r="B69">
        <v>2761</v>
      </c>
      <c r="C69">
        <f t="shared" si="2"/>
        <v>2914</v>
      </c>
    </row>
    <row r="70" spans="1:3" x14ac:dyDescent="0.4">
      <c r="A70">
        <v>69</v>
      </c>
      <c r="B70">
        <v>2883</v>
      </c>
      <c r="C70">
        <f t="shared" si="2"/>
        <v>3031</v>
      </c>
    </row>
    <row r="71" spans="1:3" x14ac:dyDescent="0.4">
      <c r="A71">
        <v>70</v>
      </c>
      <c r="B71">
        <v>3009</v>
      </c>
      <c r="C71">
        <f t="shared" si="2"/>
        <v>3150</v>
      </c>
    </row>
    <row r="72" spans="1:3" x14ac:dyDescent="0.4">
      <c r="A72">
        <v>71</v>
      </c>
      <c r="B72">
        <v>3140</v>
      </c>
      <c r="C72">
        <f t="shared" si="2"/>
        <v>3271</v>
      </c>
    </row>
    <row r="73" spans="1:3" x14ac:dyDescent="0.4">
      <c r="A73">
        <v>72</v>
      </c>
      <c r="B73">
        <v>3276</v>
      </c>
      <c r="C73">
        <f t="shared" si="2"/>
        <v>3394</v>
      </c>
    </row>
    <row r="74" spans="1:3" x14ac:dyDescent="0.4">
      <c r="A74">
        <v>73</v>
      </c>
      <c r="B74">
        <v>3418</v>
      </c>
      <c r="C74">
        <f t="shared" si="2"/>
        <v>3519</v>
      </c>
    </row>
    <row r="75" spans="1:3" x14ac:dyDescent="0.4">
      <c r="A75">
        <v>74</v>
      </c>
      <c r="B75">
        <v>3565</v>
      </c>
      <c r="C75">
        <f t="shared" si="2"/>
        <v>3646</v>
      </c>
    </row>
    <row r="76" spans="1:3" x14ac:dyDescent="0.4">
      <c r="A76">
        <v>75</v>
      </c>
      <c r="B76">
        <v>3717</v>
      </c>
      <c r="C76">
        <f t="shared" si="2"/>
        <v>3775</v>
      </c>
    </row>
    <row r="77" spans="1:3" x14ac:dyDescent="0.4">
      <c r="A77">
        <v>76</v>
      </c>
      <c r="B77">
        <v>3876</v>
      </c>
      <c r="C77">
        <f t="shared" si="2"/>
        <v>3906</v>
      </c>
    </row>
    <row r="78" spans="1:3" x14ac:dyDescent="0.4">
      <c r="A78">
        <v>77</v>
      </c>
      <c r="B78">
        <v>4041</v>
      </c>
      <c r="C78">
        <f t="shared" si="2"/>
        <v>4039</v>
      </c>
    </row>
    <row r="79" spans="1:3" x14ac:dyDescent="0.4">
      <c r="A79">
        <v>78</v>
      </c>
      <c r="B79">
        <v>4213</v>
      </c>
      <c r="C79">
        <f t="shared" si="2"/>
        <v>4174</v>
      </c>
    </row>
    <row r="80" spans="1:3" x14ac:dyDescent="0.4">
      <c r="A80">
        <v>79</v>
      </c>
      <c r="B80">
        <v>4391</v>
      </c>
      <c r="C80">
        <f t="shared" si="2"/>
        <v>4311</v>
      </c>
    </row>
    <row r="81" spans="1:3" x14ac:dyDescent="0.4">
      <c r="A81">
        <v>80</v>
      </c>
      <c r="C81">
        <f t="shared" si="2"/>
        <v>4450</v>
      </c>
    </row>
    <row r="82" spans="1:3" x14ac:dyDescent="0.4">
      <c r="A82">
        <v>81</v>
      </c>
      <c r="C82">
        <f t="shared" si="2"/>
        <v>4591</v>
      </c>
    </row>
    <row r="83" spans="1:3" x14ac:dyDescent="0.4">
      <c r="A83">
        <v>82</v>
      </c>
      <c r="C83">
        <f t="shared" si="2"/>
        <v>4734</v>
      </c>
    </row>
    <row r="84" spans="1:3" x14ac:dyDescent="0.4">
      <c r="A84">
        <v>83</v>
      </c>
      <c r="C84">
        <f t="shared" si="2"/>
        <v>4879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pack size</vt:lpstr>
      <vt:lpstr>spawn area</vt:lpstr>
      <vt:lpstr>all</vt:lpstr>
      <vt:lpstr>mob list</vt:lpstr>
      <vt:lpstr>life</vt:lpstr>
      <vt:lpstr>damage</vt:lpstr>
      <vt:lpstr>accuracy</vt:lpstr>
      <vt:lpstr>evasion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iroha</dc:creator>
  <cp:lastModifiedBy>iroha</cp:lastModifiedBy>
  <dcterms:created xsi:type="dcterms:W3CDTF">2019-02-01T08:16:09Z</dcterms:created>
  <dcterms:modified xsi:type="dcterms:W3CDTF">2019-02-15T07:10:44Z</dcterms:modified>
</cp:coreProperties>
</file>